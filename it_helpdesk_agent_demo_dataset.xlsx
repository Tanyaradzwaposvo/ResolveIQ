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0b25ad647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s" sheetId="1" r:id="R62fbd19c8b4c4f31"/>
    <x:sheet xmlns:r="http://schemas.openxmlformats.org/officeDocument/2006/relationships" name="Label Reference" sheetId="2" r:id="R922a54383e064fd5"/>
    <x:sheet xmlns:r="http://schemas.openxmlformats.org/officeDocument/2006/relationships" name="Summary" sheetId="3" r:id="Rd7bd3939aa10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1F1F1F"/>
      </x:patternFill>
    </x:fill>
    <x:fill>
      <x:patternFill patternType="solid">
        <x:fgColor rgb="70AD47"/>
      </x:patternFill>
    </x:fill>
    <x:fill>
      <x:patternFill patternType="solid">
        <x:fgColor rgb="D9E2F3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23da91743a4aa3" /><Relationship Type="http://schemas.openxmlformats.org/officeDocument/2006/relationships/theme" Target="/xl/theme/theme1.xml" Id="R656bbae2cb1e4b48" /><Relationship Type="http://schemas.openxmlformats.org/officeDocument/2006/relationships/sharedStrings" Target="/xl/sharedStrings.xml" Id="Rf5597574e0b04d4b" /><Relationship Type="http://schemas.openxmlformats.org/officeDocument/2006/relationships/worksheet" Target="/xl/worksheets/sheet1.xml" Id="R62fbd19c8b4c4f31" /><Relationship Type="http://schemas.openxmlformats.org/officeDocument/2006/relationships/worksheet" Target="/xl/worksheets/sheet2.xml" Id="R922a54383e064fd5" /><Relationship Type="http://schemas.openxmlformats.org/officeDocument/2006/relationships/worksheet" Target="/xl/worksheets/sheet3.xml" Id="Rd7bd3939aa1042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123836986b41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Tickets by Category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'Summary'!$D$4:$D$13</c:f>
              <c:strCache>
                <c:ptCount val="0"/>
              </c:strCache>
            </c:strRef>
          </c:cat>
          <c:val>
            <c:numRef>
              <c:f>'Summary'!$E$4:$E$13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123836986b410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elpDeskTickets" displayName="HelpDeskTickets" ref="A1:T151" headerRowCount="1">
  <x:tableColumns count="20">
    <x:tableColumn id="1" name="ticket_id"/>
    <x:tableColumn id="2" name="submitted_at"/>
    <x:tableColumn id="3" name="channel"/>
    <x:tableColumn id="4" name="requester_role"/>
    <x:tableColumn id="5" name="department"/>
    <x:tableColumn id="6" name="location"/>
    <x:tableColumn id="7" name="device_type"/>
    <x:tableColumn id="8" name="operating_system"/>
    <x:tableColumn id="9" name="issue_title"/>
    <x:tableColumn id="10" name="issue_description"/>
    <x:tableColumn id="11" name="category"/>
    <x:tableColumn id="12" name="subcategory"/>
    <x:tableColumn id="13" name="impact"/>
    <x:tableColumn id="14" name="urgency"/>
    <x:tableColumn id="15" name="priority"/>
    <x:tableColumn id="16" name="route_team"/>
    <x:tableColumn id="17" name="follow_up_question"/>
    <x:tableColumn id="18" name="first_action"/>
    <x:tableColumn id="19" name="resolved_flag"/>
    <x:tableColumn id="20" name="resolution_summ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5a8c45e46545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ef6ca00e523461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0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28" hidden="0" customWidth="1"/>
    <x:col min="10" max="10" width="42" hidden="0" customWidth="1"/>
    <x:col min="11" max="11" width="20" hidden="0" customWidth="1"/>
    <x:col min="12" max="12" width="18" hidden="0" customWidth="1"/>
    <x:col min="13" max="13" width="14" hidden="0" customWidth="1"/>
    <x:col min="14" max="14" width="14" hidden="0" customWidth="1"/>
    <x:col min="15" max="15" width="10" hidden="0" customWidth="1"/>
    <x:col min="16" max="16" width="18" hidden="0" customWidth="1"/>
    <x:col min="17" max="17" width="34" hidden="0" customWidth="1"/>
    <x:col min="18" max="18" width="38" hidden="0" customWidth="1"/>
    <x:col min="19" max="19" width="12" hidden="0" customWidth="1"/>
    <x:col min="20" max="20" width="34" hidden="0" customWidth="1"/>
  </x:cols>
  <x:sheetData>
    <x:row r="1" ht="22" customHeight="1">
      <x:c r="A1" s="4" t="str">
        <x:v>ticket_id</x:v>
      </x:c>
      <x:c r="B1" s="4" t="str">
        <x:v>submitted_at</x:v>
      </x:c>
      <x:c r="C1" s="4" t="str">
        <x:v>channel</x:v>
      </x:c>
      <x:c r="D1" s="4" t="str">
        <x:v>requester_role</x:v>
      </x:c>
      <x:c r="E1" s="4" t="str">
        <x:v>department</x:v>
      </x:c>
      <x:c r="F1" s="4" t="str">
        <x:v>location</x:v>
      </x:c>
      <x:c r="G1" s="4" t="str">
        <x:v>device_type</x:v>
      </x:c>
      <x:c r="H1" s="4" t="str">
        <x:v>operating_system</x:v>
      </x:c>
      <x:c r="I1" s="4" t="str">
        <x:v>issue_title</x:v>
      </x:c>
      <x:c r="J1" s="5" t="str">
        <x:v>issue_description</x:v>
      </x:c>
      <x:c r="K1" s="4" t="str">
        <x:v>category</x:v>
      </x:c>
      <x:c r="L1" s="4" t="str">
        <x:v>subcategory</x:v>
      </x:c>
      <x:c r="M1" s="4" t="str">
        <x:v>impact</x:v>
      </x:c>
      <x:c r="N1" s="4" t="str">
        <x:v>urgency</x:v>
      </x:c>
      <x:c r="O1" s="4" t="str">
        <x:v>priority</x:v>
      </x:c>
      <x:c r="P1" s="4" t="str">
        <x:v>route_team</x:v>
      </x:c>
      <x:c r="Q1" s="5" t="str">
        <x:v>follow_up_question</x:v>
      </x:c>
      <x:c r="R1" s="5" t="str">
        <x:v>first_action</x:v>
      </x:c>
      <x:c r="S1" s="4" t="str">
        <x:v>resolved_flag</x:v>
      </x:c>
      <x:c r="T1" s="5" t="str">
        <x:v>resolution_summary</x:v>
      </x:c>
    </x:row>
    <x:row r="2">
      <x:c r="A2" t="str">
        <x:v>HD-20260001</x:v>
      </x:c>
      <x:c r="B2" t="str">
        <x:v>2026-03-10 12:57</x:v>
      </x:c>
      <x:c r="C2" t="str">
        <x:v>Portal</x:v>
      </x:c>
      <x:c r="D2" t="str">
        <x:v>Associate</x:v>
      </x:c>
      <x:c r="E2" t="str">
        <x:v>Warehouse</x:v>
      </x:c>
      <x:c r="F2" t="str">
        <x:v>Dallas HQ</x:v>
      </x:c>
      <x:c r="G2" t="str">
        <x:v>Laptop</x:v>
      </x:c>
      <x:c r="H2" t="str">
        <x:v>Windows 10</x:v>
      </x:c>
      <x:c r="I2" t="str">
        <x:v>Locked out after too many attempts</x:v>
      </x:c>
      <x:c r="J2" t="str">
        <x:v>User can no longer sign in after repeated password attempts and believes the account is locked. The user is remote and connected through home internet.</x:v>
      </x:c>
      <x:c r="K2" t="str">
        <x:v>Identity &amp; Access</x:v>
      </x:c>
      <x:c r="L2" t="str">
        <x:v>MFA Issue</x:v>
      </x:c>
      <x:c r="M2" t="str">
        <x:v>Single User</x:v>
      </x:c>
      <x:c r="N2" t="str">
        <x:v>Low</x:v>
      </x:c>
      <x:c r="O2" t="str">
        <x:v>P4</x:v>
      </x:c>
      <x:c r="P2" t="str">
        <x:v>Service Desk</x:v>
      </x:c>
      <x:c r="Q2" t="str">
        <x:v>Are you able to sign in anywhere else, or is the problem affecting every login?</x:v>
      </x:c>
      <x:c r="R2" t="str">
        <x:v>Verify identity, confirm scope of the failure, then check account status and MFA registration.</x:v>
      </x:c>
      <x:c r="S2" t="str">
        <x:v>Yes</x:v>
      </x:c>
      <x:c r="T2" t="str">
        <x:v>Resolved by restoring expected connectivity or application functionality.</x:v>
      </x:c>
    </x:row>
    <x:row r="3">
      <x:c r="A3" t="str">
        <x:v>HD-20260002</x:v>
      </x:c>
      <x:c r="B3" t="str">
        <x:v>2026-03-21 12:00</x:v>
      </x:c>
      <x:c r="C3" t="str">
        <x:v>Portal</x:v>
      </x:c>
      <x:c r="D3" t="str">
        <x:v>Supervisor</x:v>
      </x:c>
      <x:c r="E3" t="str">
        <x:v>HR</x:v>
      </x:c>
      <x:c r="F3" t="str">
        <x:v>Fort Worth Store</x:v>
      </x:c>
      <x:c r="G3" t="str">
        <x:v>Desktop</x:v>
      </x:c>
      <x:c r="H3" t="str">
        <x:v>Windows 11</x:v>
      </x:c>
      <x:c r="I3" t="str">
        <x:v>Internal host names not resolving</x:v>
      </x:c>
      <x:c r="J3" t="str">
        <x:v>User can browse the public internet but cannot resolve internal server names while on the network. The problem started after a password change.</x:v>
      </x:c>
      <x:c r="K3" t="str">
        <x:v>Network/VPN</x:v>
      </x:c>
      <x:c r="L3" t="str">
        <x:v>Wi-Fi Connectivity</x:v>
      </x:c>
      <x:c r="M3" t="str">
        <x:v>Single User</x:v>
      </x:c>
      <x:c r="N3" t="str">
        <x:v>Low</x:v>
      </x:c>
      <x:c r="O3" t="str">
        <x:v>P4</x:v>
      </x:c>
      <x:c r="P3" t="str">
        <x:v>Network Support</x:v>
      </x:c>
      <x:c r="Q3" t="str">
        <x:v>Did this start today, and does the issue happen on other networks?</x:v>
      </x:c>
      <x:c r="R3" t="str">
        <x:v>Capture the exact error, verify local internet access, then reconnect or renew the network adapter.</x:v>
      </x:c>
      <x:c r="S3" t="str">
        <x:v>No</x:v>
      </x:c>
      <x:c r="T3" t="str">
        <x:v>Pending vendor, infrastructure, or application team review.</x:v>
      </x:c>
    </x:row>
    <x:row r="4">
      <x:c r="A4" t="str">
        <x:v>HD-20260003</x:v>
      </x:c>
      <x:c r="B4" t="str">
        <x:v>2026-03-09 14:29</x:v>
      </x:c>
      <x:c r="C4" t="str">
        <x:v>Chat</x:v>
      </x:c>
      <x:c r="D4" t="str">
        <x:v>Associate</x:v>
      </x:c>
      <x:c r="E4" t="str">
        <x:v>Warehouse</x:v>
      </x:c>
      <x:c r="F4" t="str">
        <x:v>Austin Branch</x:v>
      </x:c>
      <x:c r="G4" t="str">
        <x:v>Desktop</x:v>
      </x:c>
      <x:c r="H4" t="str">
        <x:v>iPhone</x:v>
      </x:c>
      <x:c r="I4" t="str">
        <x:v>Access denied to application</x:v>
      </x:c>
      <x:c r="J4" t="str">
        <x:v>User can sign in but does not have permission to view the requested application or folder. The user has already rebooted once.</x:v>
      </x:c>
      <x:c r="K4" t="str">
        <x:v>Identity &amp; Access</x:v>
      </x:c>
      <x:c r="L4" t="str">
        <x:v>Password Reset</x:v>
      </x:c>
      <x:c r="M4" t="str">
        <x:v>Small Team</x:v>
      </x:c>
      <x:c r="N4" t="str">
        <x:v>High</x:v>
      </x:c>
      <x:c r="O4" t="str">
        <x:v>P2</x:v>
      </x:c>
      <x:c r="P4" t="str">
        <x:v>Service Desk</x:v>
      </x:c>
      <x:c r="Q4" t="str">
        <x:v>Did you change phones, numbers, or authenticators recently?</x:v>
      </x:c>
      <x:c r="R4" t="str">
        <x:v>Verify identity, confirm scope of the failure, then check account status and MFA registration.</x:v>
      </x:c>
      <x:c r="S4" t="str">
        <x:v>Yes</x:v>
      </x:c>
      <x:c r="T4" t="str">
        <x:v>Resolved by restoring expected connectivity or application functionality.</x:v>
      </x:c>
    </x:row>
    <x:row r="5">
      <x:c r="A5" t="str">
        <x:v>HD-20260004</x:v>
      </x:c>
      <x:c r="B5" t="str">
        <x:v>2026-03-21 06:06</x:v>
      </x:c>
      <x:c r="C5" t="str">
        <x:v>Portal</x:v>
      </x:c>
      <x:c r="D5" t="str">
        <x:v>Director</x:v>
      </x:c>
      <x:c r="E5" t="str">
        <x:v>Executive</x:v>
      </x:c>
      <x:c r="F5" t="str">
        <x:v>Plano Office</x:v>
      </x:c>
      <x:c r="G5" t="str">
        <x:v>Laptop</x:v>
      </x:c>
      <x:c r="H5" t="str">
        <x:v>Windows 11</x:v>
      </x:c>
      <x:c r="I5" t="str">
        <x:v>Report will not generate</x:v>
      </x:c>
      <x:c r="J5" t="str">
        <x:v>Requested operational report fails to run or exports blank data. The problem started after a password change.</x:v>
      </x:c>
      <x:c r="K5" t="str">
        <x:v>Line of Business App</x:v>
      </x:c>
      <x:c r="L5" t="str">
        <x:v>POS/ERP Error</x:v>
      </x:c>
      <x:c r="M5" t="str">
        <x:v>Small Team</x:v>
      </x:c>
      <x:c r="N5" t="str">
        <x:v>High</x:v>
      </x:c>
      <x:c r="O5" t="str">
        <x:v>P2</x:v>
      </x:c>
      <x:c r="P5" t="str">
        <x:v>Business Applications</x:v>
      </x:c>
      <x:c r="Q5" t="str">
        <x:v>Does this affect one user, one location, or many users?</x:v>
      </x:c>
      <x:c r="R5" t="str">
        <x:v>Capture the exact module, transaction, and error message before escalation.</x:v>
      </x:c>
      <x:c r="S5" t="str">
        <x:v>Yes</x:v>
      </x:c>
      <x:c r="T5" t="str">
        <x:v>Resolved after client-side remediation and user retest.</x:v>
      </x:c>
    </x:row>
    <x:row r="6">
      <x:c r="A6" t="str">
        <x:v>HD-20260005</x:v>
      </x:c>
      <x:c r="B6" t="str">
        <x:v>2026-03-06 01:35</x:v>
      </x:c>
      <x:c r="C6" t="str">
        <x:v>Portal</x:v>
      </x:c>
      <x:c r="D6" t="str">
        <x:v>Supervisor</x:v>
      </x:c>
      <x:c r="E6" t="str">
        <x:v>Operations</x:v>
      </x:c>
      <x:c r="F6" t="str">
        <x:v>Dallas HQ</x:v>
      </x:c>
      <x:c r="G6" t="str">
        <x:v>Laptop</x:v>
      </x:c>
      <x:c r="H6" t="str">
        <x:v>Windows 11</x:v>
      </x:c>
      <x:c r="I6" t="str">
        <x:v>Report will not generate</x:v>
      </x:c>
      <x:c r="J6" t="str">
        <x:v>Requested operational report fails to run or exports blank data. The behavior is affecting normal job duties.</x:v>
      </x:c>
      <x:c r="K6" t="str">
        <x:v>Line of Business App</x:v>
      </x:c>
      <x:c r="L6" t="str">
        <x:v>Integration Error</x:v>
      </x:c>
      <x:c r="M6" t="str">
        <x:v>Single User</x:v>
      </x:c>
      <x:c r="N6" t="str">
        <x:v>High</x:v>
      </x:c>
      <x:c r="O6" t="str">
        <x:v>P2</x:v>
      </x:c>
      <x:c r="P6" t="str">
        <x:v>Business Applications</x:v>
      </x:c>
      <x:c r="Q6" t="str">
        <x:v>What exact application, function, and error text are involved?</x:v>
      </x:c>
      <x:c r="R6" t="str">
        <x:v>Capture the exact module, transaction, and error message before escalation.</x:v>
      </x:c>
      <x:c r="S6" t="str">
        <x:v>No</x:v>
      </x:c>
      <x:c r="T6" t="str">
        <x:v>Open pending approval, access change, or replacement hardware.</x:v>
      </x:c>
    </x:row>
    <x:row r="7">
      <x:c r="A7" t="str">
        <x:v>HD-20260006</x:v>
      </x:c>
      <x:c r="B7" t="str">
        <x:v>2026-03-02 04:29</x:v>
      </x:c>
      <x:c r="C7" t="str">
        <x:v>Email</x:v>
      </x:c>
      <x:c r="D7" t="str">
        <x:v>Director</x:v>
      </x:c>
      <x:c r="E7" t="str">
        <x:v>HR</x:v>
      </x:c>
      <x:c r="F7" t="str">
        <x:v>Austin Branch</x:v>
      </x:c>
      <x:c r="G7" t="str">
        <x:v>Mobile</x:v>
      </x:c>
      <x:c r="H7" t="str">
        <x:v>iPhone</x:v>
      </x:c>
      <x:c r="I7" t="str">
        <x:v>MFA code not arriving</x:v>
      </x:c>
      <x:c r="J7" t="str">
        <x:v>User is not receiving push notifications or codes required to complete sign-in. A screenshot is available in the ticket.</x:v>
      </x:c>
      <x:c r="K7" t="str">
        <x:v>Identity &amp; Access</x:v>
      </x:c>
      <x:c r="L7" t="str">
        <x:v>SSO/Login Failure</x:v>
      </x:c>
      <x:c r="M7" t="str">
        <x:v>Single User</x:v>
      </x:c>
      <x:c r="N7" t="str">
        <x:v>Medium</x:v>
      </x:c>
      <x:c r="O7" t="str">
        <x:v>P3</x:v>
      </x:c>
      <x:c r="P7" t="str">
        <x:v>Service Desk</x:v>
      </x:c>
      <x:c r="Q7" t="str">
        <x:v>What system or folder are you trying to access, and is this new access or existing access that stopped working?</x:v>
      </x:c>
      <x:c r="R7" t="str">
        <x:v>Document the target system and exact denial message for access-related tickets.</x:v>
      </x:c>
      <x:c r="S7" t="str">
        <x:v>Yes</x:v>
      </x:c>
      <x:c r="T7" t="str">
        <x:v>Resolved by restoring expected connectivity or application functionality.</x:v>
      </x:c>
    </x:row>
    <x:row r="8">
      <x:c r="A8" t="str">
        <x:v>HD-20260007</x:v>
      </x:c>
      <x:c r="B8" t="str">
        <x:v>2026-01-15 16:09</x:v>
      </x:c>
      <x:c r="C8" t="str">
        <x:v>Phone</x:v>
      </x:c>
      <x:c r="D8" t="str">
        <x:v>Specialist</x:v>
      </x:c>
      <x:c r="E8" t="str">
        <x:v>HR</x:v>
      </x:c>
      <x:c r="F8" t="str">
        <x:v>Remote - Texas</x:v>
      </x:c>
      <x:c r="G8" t="str">
        <x:v>Laptop</x:v>
      </x:c>
      <x:c r="H8" t="str">
        <x:v>Windows 11</x:v>
      </x:c>
      <x:c r="I8" t="str">
        <x:v>Application timeout during processing</x:v>
      </x:c>
      <x:c r="J8" t="str">
        <x:v>Long-running transaction ends in a timeout or session expiration. The issue appears limited to one device.</x:v>
      </x:c>
      <x:c r="K8" t="str">
        <x:v>Line of Business App</x:v>
      </x:c>
      <x:c r="L8" t="str">
        <x:v>Report Failure</x:v>
      </x:c>
      <x:c r="M8" t="str">
        <x:v>Single User</x:v>
      </x:c>
      <x:c r="N8" t="str">
        <x:v>Low</x:v>
      </x:c>
      <x:c r="O8" t="str">
        <x:v>P4</x:v>
      </x:c>
      <x:c r="P8" t="str">
        <x:v>Business Applications</x:v>
      </x:c>
      <x:c r="Q8" t="str">
        <x:v>Is there a business deadline or outage impact right now?</x:v>
      </x:c>
      <x:c r="R8" t="str">
        <x:v>Capture the exact module, transaction, and error message before escalation.</x:v>
      </x:c>
      <x:c r="S8" t="str">
        <x:v>Yes</x:v>
      </x:c>
      <x:c r="T8" t="str">
        <x:v>Resolved after service desk triage and routing to the correct support team.</x:v>
      </x:c>
    </x:row>
    <x:row r="9">
      <x:c r="A9" t="str">
        <x:v>HD-20260008</x:v>
      </x:c>
      <x:c r="B9" t="str">
        <x:v>2026-03-12 22:41</x:v>
      </x:c>
      <x:c r="C9" t="str">
        <x:v>Email</x:v>
      </x:c>
      <x:c r="D9" t="str">
        <x:v>Associate</x:v>
      </x:c>
      <x:c r="E9" t="str">
        <x:v>Customer Service</x:v>
      </x:c>
      <x:c r="F9" t="str">
        <x:v>Dallas HQ</x:v>
      </x:c>
      <x:c r="G9" t="str">
        <x:v>Laptop</x:v>
      </x:c>
      <x:c r="H9" t="str">
        <x:v>macOS</x:v>
      </x:c>
      <x:c r="I9" t="str">
        <x:v>Browser cannot open business site</x:v>
      </x:c>
      <x:c r="J9" t="str">
        <x:v>Corporate web application loads incorrectly or produces script or certificate related issues. The issue appears limited to one device.</x:v>
      </x:c>
      <x:c r="K9" t="str">
        <x:v>Software</x:v>
      </x:c>
      <x:c r="L9" t="str">
        <x:v>Application Crash</x:v>
      </x:c>
      <x:c r="M9" t="str">
        <x:v>Department</x:v>
      </x:c>
      <x:c r="N9" t="str">
        <x:v>Medium</x:v>
      </x:c>
      <x:c r="O9" t="str">
        <x:v>P2</x:v>
      </x:c>
      <x:c r="P9" t="str">
        <x:v>Desktop Support</x:v>
      </x:c>
      <x:c r="Q9" t="str">
        <x:v>What exact application and version are involved, and when did it last work?</x:v>
      </x:c>
      <x:c r="R9" t="str">
        <x:v>Collect screenshots or error text before reinstalling or clearing caches.</x:v>
      </x:c>
      <x:c r="S9" t="str">
        <x:v>No</x:v>
      </x:c>
      <x:c r="T9" t="str">
        <x:v>Pending vendor, infrastructure, or application team review.</x:v>
      </x:c>
    </x:row>
    <x:row r="10">
      <x:c r="A10" t="str">
        <x:v>HD-20260009</x:v>
      </x:c>
      <x:c r="B10" t="str">
        <x:v>2026-01-23 07:09</x:v>
      </x:c>
      <x:c r="C10" t="str">
        <x:v>Email</x:v>
      </x:c>
      <x:c r="D10" t="str">
        <x:v>Specialist</x:v>
      </x:c>
      <x:c r="E10" t="str">
        <x:v>Customer Service</x:v>
      </x:c>
      <x:c r="F10" t="str">
        <x:v>Austin Branch</x:v>
      </x:c>
      <x:c r="G10" t="str">
        <x:v>Mobile</x:v>
      </x:c>
      <x:c r="H10" t="str">
        <x:v>iPhone</x:v>
      </x:c>
      <x:c r="I10" t="str">
        <x:v>Calendar permissions issue</x:v>
      </x:c>
      <x:c r="J10" t="str">
        <x:v>User cannot view or edit another person's calendar despite prior access. The problem started after a password change.</x:v>
      </x:c>
      <x:c r="K10" t="str">
        <x:v>Email &amp; Collaboration</x:v>
      </x:c>
      <x:c r="L10" t="str">
        <x:v>Outlook Issue</x:v>
      </x:c>
      <x:c r="M10" t="str">
        <x:v>Department</x:v>
      </x:c>
      <x:c r="N10" t="str">
        <x:v>Medium</x:v>
      </x:c>
      <x:c r="O10" t="str">
        <x:v>P2</x:v>
      </x:c>
      <x:c r="P10" t="str">
        <x:v>Messaging Team</x:v>
      </x:c>
      <x:c r="Q10" t="str">
        <x:v>When did it last work normally?</x:v>
      </x:c>
      <x:c r="R10" t="str">
        <x:v>Confirm whether the issue reproduces in the web client to isolate app versus service problems.</x:v>
      </x:c>
      <x:c r="S10" t="str">
        <x:v>Yes</x:v>
      </x:c>
      <x:c r="T10" t="str">
        <x:v>Issue resolved after standard troubleshooting and confirmation from user.</x:v>
      </x:c>
    </x:row>
    <x:row r="11">
      <x:c r="A11" t="str">
        <x:v>HD-20260010</x:v>
      </x:c>
      <x:c r="B11" t="str">
        <x:v>2026-02-16 19:52</x:v>
      </x:c>
      <x:c r="C11" t="str">
        <x:v>Portal</x:v>
      </x:c>
      <x:c r="D11" t="str">
        <x:v>Specialist</x:v>
      </x:c>
      <x:c r="E11" t="str">
        <x:v>Finance</x:v>
      </x:c>
      <x:c r="F11" t="str">
        <x:v>Houston Branch</x:v>
      </x:c>
      <x:c r="G11" t="str">
        <x:v>Laptop</x:v>
      </x:c>
      <x:c r="H11" t="str">
        <x:v>Windows 11</x:v>
      </x:c>
      <x:c r="I11" t="str">
        <x:v>Wrong printer driver behavior</x:v>
      </x:c>
      <x:c r="J11" t="str">
        <x:v>Output formatting is broken or the job hangs after a printer replacement. The user states the issue was intermittent yesterday and is now constant.</x:v>
      </x:c>
      <x:c r="K11" t="str">
        <x:v>Printing</x:v>
      </x:c>
      <x:c r="L11" t="str">
        <x:v>Queue Stuck</x:v>
      </x:c>
      <x:c r="M11" t="str">
        <x:v>Department</x:v>
      </x:c>
      <x:c r="N11" t="str">
        <x:v>Low</x:v>
      </x:c>
      <x:c r="O11" t="str">
        <x:v>P2</x:v>
      </x:c>
      <x:c r="P11" t="str">
        <x:v>Field Support</x:v>
      </x:c>
      <x:c r="Q11" t="str">
        <x:v>Is the issue affecting one user, one printer, or everyone using that printer?</x:v>
      </x:c>
      <x:c r="R11" t="str">
        <x:v>Identify whether the failure is user-specific, workstation-specific, or printer-wide.</x:v>
      </x:c>
      <x:c r="S11" t="str">
        <x:v>Yes</x:v>
      </x:c>
      <x:c r="T11" t="str">
        <x:v>Resolved by restoring expected connectivity or application functionality.</x:v>
      </x:c>
    </x:row>
    <x:row r="12">
      <x:c r="A12" t="str">
        <x:v>HD-20260011</x:v>
      </x:c>
      <x:c r="B12" t="str">
        <x:v>2026-03-06 04:12</x:v>
      </x:c>
      <x:c r="C12" t="str">
        <x:v>Chat</x:v>
      </x:c>
      <x:c r="D12" t="str">
        <x:v>Coordinator</x:v>
      </x:c>
      <x:c r="E12" t="str">
        <x:v>Marketing</x:v>
      </x:c>
      <x:c r="F12" t="str">
        <x:v>Remote - Texas</x:v>
      </x:c>
      <x:c r="G12" t="str">
        <x:v>Desktop</x:v>
      </x:c>
      <x:c r="H12" t="str">
        <x:v>Windows 11</x:v>
      </x:c>
      <x:c r="I12" t="str">
        <x:v>Browser cannot open business site</x:v>
      </x:c>
      <x:c r="J12" t="str">
        <x:v>Corporate web application loads incorrectly or produces script or certificate related issues. The problem started after a password change.</x:v>
      </x:c>
      <x:c r="K12" t="str">
        <x:v>Software</x:v>
      </x:c>
      <x:c r="L12" t="str">
        <x:v>Browser Problem</x:v>
      </x:c>
      <x:c r="M12" t="str">
        <x:v>Department</x:v>
      </x:c>
      <x:c r="N12" t="str">
        <x:v>Medium</x:v>
      </x:c>
      <x:c r="O12" t="str">
        <x:v>P2</x:v>
      </x:c>
      <x:c r="P12" t="str">
        <x:v>Desktop Support</x:v>
      </x:c>
      <x:c r="Q12" t="str">
        <x:v>Does the issue affect one machine or multiple users?</x:v>
      </x:c>
      <x:c r="R12" t="str">
        <x:v>Collect screenshots or error text before reinstalling or clearing caches.</x:v>
      </x:c>
      <x:c r="S12" t="str">
        <x:v>No</x:v>
      </x:c>
      <x:c r="T12" t="str">
        <x:v>Open pending approval, access change, or replacement hardware.</x:v>
      </x:c>
    </x:row>
    <x:row r="13">
      <x:c r="A13" t="str">
        <x:v>HD-20260012</x:v>
      </x:c>
      <x:c r="B13" t="str">
        <x:v>2026-01-25 03:00</x:v>
      </x:c>
      <x:c r="C13" t="str">
        <x:v>Portal</x:v>
      </x:c>
      <x:c r="D13" t="str">
        <x:v>Supervisor</x:v>
      </x:c>
      <x:c r="E13" t="str">
        <x:v>Finance</x:v>
      </x:c>
      <x:c r="F13" t="str">
        <x:v>Dallas HQ</x:v>
      </x:c>
      <x:c r="G13" t="str">
        <x:v>Desktop</x:v>
      </x:c>
      <x:c r="H13" t="str">
        <x:v>Windows 11</x:v>
      </x:c>
      <x:c r="I13" t="str">
        <x:v>Dock not detecting monitors</x:v>
      </x:c>
      <x:c r="J13" t="str">
        <x:v>Laptop connects to the docking station but one or more external displays are not detected. The issue appears limited to one device.</x:v>
      </x:c>
      <x:c r="K13" t="str">
        <x:v>Hardware</x:v>
      </x:c>
      <x:c r="L13" t="str">
        <x:v>Laptop Performance</x:v>
      </x:c>
      <x:c r="M13" t="str">
        <x:v>Small Team</x:v>
      </x:c>
      <x:c r="N13" t="str">
        <x:v>Low</x:v>
      </x:c>
      <x:c r="O13" t="str">
        <x:v>P3</x:v>
      </x:c>
      <x:c r="P13" t="str">
        <x:v>Desktop Support</x:v>
      </x:c>
      <x:c r="Q13" t="str">
        <x:v>Is the issue happening with one accessory or multiple devices connected to the workstation?</x:v>
      </x:c>
      <x:c r="R13" t="str">
        <x:v>Confirm power, cable, and dock connections before moving to replacement or escalation.</x:v>
      </x:c>
      <x:c r="S13" t="str">
        <x:v>No</x:v>
      </x:c>
      <x:c r="T13" t="str">
        <x:v>Awaiting user response with requested details or screenshots.</x:v>
      </x:c>
    </x:row>
    <x:row r="14">
      <x:c r="A14" t="str">
        <x:v>HD-20260013</x:v>
      </x:c>
      <x:c r="B14" t="str">
        <x:v>2026-02-24 01:36</x:v>
      </x:c>
      <x:c r="C14" t="str">
        <x:v>Phone</x:v>
      </x:c>
      <x:c r="D14" t="str">
        <x:v>Manager</x:v>
      </x:c>
      <x:c r="E14" t="str">
        <x:v>IT</x:v>
      </x:c>
      <x:c r="F14" t="str">
        <x:v>Dallas HQ</x:v>
      </x:c>
      <x:c r="G14" t="str">
        <x:v>Laptop</x:v>
      </x:c>
      <x:c r="H14" t="str">
        <x:v>macOS</x:v>
      </x:c>
      <x:c r="I14" t="str">
        <x:v>Keyboard or mouse stopped working</x:v>
      </x:c>
      <x:c r="J14" t="str">
        <x:v>Peripheral worked earlier but is now intermittently disconnecting or completely unresponsive. The user has already rebooted once.</x:v>
      </x:c>
      <x:c r="K14" t="str">
        <x:v>Hardware</x:v>
      </x:c>
      <x:c r="L14" t="str">
        <x:v>Peripheral Failure</x:v>
      </x:c>
      <x:c r="M14" t="str">
        <x:v>Single User</x:v>
      </x:c>
      <x:c r="N14" t="str">
        <x:v>High</x:v>
      </x:c>
      <x:c r="O14" t="str">
        <x:v>P2</x:v>
      </x:c>
      <x:c r="P14" t="str">
        <x:v>Desktop Support</x:v>
      </x:c>
      <x:c r="Q14" t="str">
        <x:v>Did any hardware, cables, or desks change recently?</x:v>
      </x:c>
      <x:c r="R14" t="str">
        <x:v>Confirm power, cable, and dock connections before moving to replacement or escalation.</x:v>
      </x:c>
      <x:c r="S14" t="str">
        <x:v>Yes</x:v>
      </x:c>
      <x:c r="T14" t="str">
        <x:v>Resolved after service desk triage and routing to the correct support team.</x:v>
      </x:c>
    </x:row>
    <x:row r="15">
      <x:c r="A15" t="str">
        <x:v>HD-20260014</x:v>
      </x:c>
      <x:c r="B15" t="str">
        <x:v>2026-02-04 06:51</x:v>
      </x:c>
      <x:c r="C15" t="str">
        <x:v>Email</x:v>
      </x:c>
      <x:c r="D15" t="str">
        <x:v>Manager</x:v>
      </x:c>
      <x:c r="E15" t="str">
        <x:v>Finance</x:v>
      </x:c>
      <x:c r="F15" t="str">
        <x:v>Fort Worth Store</x:v>
      </x:c>
      <x:c r="G15" t="str">
        <x:v>Mobile</x:v>
      </x:c>
      <x:c r="H15" t="str">
        <x:v>Windows 11</x:v>
      </x:c>
      <x:c r="I15" t="str">
        <x:v>Sensitive data may have been sent</x:v>
      </x:c>
      <x:c r="J15" t="str">
        <x:v>User is concerned that confidential information may have been emailed or uploaded improperly. Another coworker reported a similar symptom.</x:v>
      </x:c>
      <x:c r="K15" t="str">
        <x:v>Security</x:v>
      </x:c>
      <x:c r="L15" t="str">
        <x:v>Data Loss Concern</x:v>
      </x:c>
      <x:c r="M15" t="str">
        <x:v>Single User</x:v>
      </x:c>
      <x:c r="N15" t="str">
        <x:v>Low</x:v>
      </x:c>
      <x:c r="O15" t="str">
        <x:v>P4</x:v>
      </x:c>
      <x:c r="P15" t="str">
        <x:v>Security Operations</x:v>
      </x:c>
      <x:c r="Q15" t="str">
        <x:v>Is there any business deadline that depends on rapid review?</x:v>
      </x:c>
      <x:c r="R15" t="str">
        <x:v>Determine whether credentials, clicks, or downloads occurred before deciding containment steps.</x:v>
      </x:c>
      <x:c r="S15" t="str">
        <x:v>Yes</x:v>
      </x:c>
      <x:c r="T15" t="str">
        <x:v>Resolved after client-side remediation and user retest.</x:v>
      </x:c>
    </x:row>
    <x:row r="16">
      <x:c r="A16" t="str">
        <x:v>HD-20260015</x:v>
      </x:c>
      <x:c r="B16" t="str">
        <x:v>2026-01-07 14:05</x:v>
      </x:c>
      <x:c r="C16" t="str">
        <x:v>Portal</x:v>
      </x:c>
      <x:c r="D16" t="str">
        <x:v>Manager</x:v>
      </x:c>
      <x:c r="E16" t="str">
        <x:v>Operations</x:v>
      </x:c>
      <x:c r="F16" t="str">
        <x:v>Remote - Texas</x:v>
      </x:c>
      <x:c r="G16" t="str">
        <x:v>Laptop</x:v>
      </x:c>
      <x:c r="H16" t="str">
        <x:v>Windows 11</x:v>
      </x:c>
      <x:c r="I16" t="str">
        <x:v>Laptop running extremely slow</x:v>
      </x:c>
      <x:c r="J16" t="str">
        <x:v>User reports severe slowness during normal work, especially when launching applications. A screenshot is available in the ticket.</x:v>
      </x:c>
      <x:c r="K16" t="str">
        <x:v>Hardware</x:v>
      </x:c>
      <x:c r="L16" t="str">
        <x:v>Peripheral Failure</x:v>
      </x:c>
      <x:c r="M16" t="str">
        <x:v>Small Team</x:v>
      </x:c>
      <x:c r="N16" t="str">
        <x:v>Medium</x:v>
      </x:c>
      <x:c r="O16" t="str">
        <x:v>P2</x:v>
      </x:c>
      <x:c r="P16" t="str">
        <x:v>Desktop Support</x:v>
      </x:c>
      <x:c r="Q16" t="str">
        <x:v>Did any hardware, cables, or desks change recently?</x:v>
      </x:c>
      <x:c r="R16" t="str">
        <x:v>Confirm power, cable, and dock connections before moving to replacement or escalation.</x:v>
      </x:c>
      <x:c r="S16" t="str">
        <x:v>No</x:v>
      </x:c>
      <x:c r="T16" t="str">
        <x:v>Escalated to owning team for deeper investigation.</x:v>
      </x:c>
    </x:row>
    <x:row r="17">
      <x:c r="A17" t="str">
        <x:v>HD-20260016</x:v>
      </x:c>
      <x:c r="B17" t="str">
        <x:v>2026-03-14 04:35</x:v>
      </x:c>
      <x:c r="C17" t="str">
        <x:v>Email</x:v>
      </x:c>
      <x:c r="D17" t="str">
        <x:v>Manager</x:v>
      </x:c>
      <x:c r="E17" t="str">
        <x:v>IT</x:v>
      </x:c>
      <x:c r="F17" t="str">
        <x:v>Austin Branch</x:v>
      </x:c>
      <x:c r="G17" t="str">
        <x:v>Desktop</x:v>
      </x:c>
      <x:c r="H17" t="str">
        <x:v>Windows 10</x:v>
      </x:c>
      <x:c r="I17" t="str">
        <x:v>Cannot open mapped drive</x:v>
      </x:c>
      <x:c r="J17" t="str">
        <x:v>User can log in but receives an access or path error when attempting to open a mapped file share. The user has already rebooted once.</x:v>
      </x:c>
      <x:c r="K17" t="str">
        <x:v>Network/VPN</x:v>
      </x:c>
      <x:c r="L17" t="str">
        <x:v>Ethernet Connectivity</x:v>
      </x:c>
      <x:c r="M17" t="str">
        <x:v>Single User</x:v>
      </x:c>
      <x:c r="N17" t="str">
        <x:v>High</x:v>
      </x:c>
      <x:c r="O17" t="str">
        <x:v>P2</x:v>
      </x:c>
      <x:c r="P17" t="str">
        <x:v>Network Support</x:v>
      </x:c>
      <x:c r="Q17" t="str">
        <x:v>Are you remote or in the office, and what exact error do you see?</x:v>
      </x:c>
      <x:c r="R17" t="str">
        <x:v>Capture the exact error, verify local internet access, then reconnect or renew the network adapter.</x:v>
      </x:c>
      <x:c r="S17" t="str">
        <x:v>No</x:v>
      </x:c>
      <x:c r="T17" t="str">
        <x:v>Awaiting user response with requested details or screenshots.</x:v>
      </x:c>
    </x:row>
    <x:row r="18">
      <x:c r="A18" t="str">
        <x:v>HD-20260017</x:v>
      </x:c>
      <x:c r="B18" t="str">
        <x:v>2026-03-19 23:11</x:v>
      </x:c>
      <x:c r="C18" t="str">
        <x:v>Email</x:v>
      </x:c>
      <x:c r="D18" t="str">
        <x:v>Analyst</x:v>
      </x:c>
      <x:c r="E18" t="str">
        <x:v>Finance</x:v>
      </x:c>
      <x:c r="F18" t="str">
        <x:v>Dallas HQ</x:v>
      </x:c>
      <x:c r="G18" t="str">
        <x:v>Desktop</x:v>
      </x:c>
      <x:c r="H18" t="str">
        <x:v>Windows 11</x:v>
      </x:c>
      <x:c r="I18" t="str">
        <x:v>VPN disconnects every few minutes</x:v>
      </x:c>
      <x:c r="J18" t="str">
        <x:v>User reports the VPN connects successfully but disconnects after 2 to 5 minutes, which drops access to internal resources. No recent hardware changes were reported.</x:v>
      </x:c>
      <x:c r="K18" t="str">
        <x:v>Network/VPN</x:v>
      </x:c>
      <x:c r="L18" t="str">
        <x:v>Shared Drive Access</x:v>
      </x:c>
      <x:c r="M18" t="str">
        <x:v>Single User</x:v>
      </x:c>
      <x:c r="N18" t="str">
        <x:v>Medium</x:v>
      </x:c>
      <x:c r="O18" t="str">
        <x:v>P3</x:v>
      </x:c>
      <x:c r="P18" t="str">
        <x:v>Network Support</x:v>
      </x:c>
      <x:c r="Q18" t="str">
        <x:v>Are you remote or in the office, and what exact error do you see?</x:v>
      </x:c>
      <x:c r="R18" t="str">
        <x:v>Confirm whether the issue affects one user or multiple users before escalating.</x:v>
      </x:c>
      <x:c r="S18" t="str">
        <x:v>No</x:v>
      </x:c>
      <x:c r="T18" t="str">
        <x:v>Under investigation due to inability to reproduce consistently.</x:v>
      </x:c>
    </x:row>
    <x:row r="19">
      <x:c r="A19" t="str">
        <x:v>HD-20260018</x:v>
      </x:c>
      <x:c r="B19" t="str">
        <x:v>2026-01-28 14:13</x:v>
      </x:c>
      <x:c r="C19" t="str">
        <x:v>Email</x:v>
      </x:c>
      <x:c r="D19" t="str">
        <x:v>Manager</x:v>
      </x:c>
      <x:c r="E19" t="str">
        <x:v>Customer Service</x:v>
      </x:c>
      <x:c r="F19" t="str">
        <x:v>Houston Branch</x:v>
      </x:c>
      <x:c r="G19" t="str">
        <x:v>Laptop</x:v>
      </x:c>
      <x:c r="H19" t="str">
        <x:v>Windows 10</x:v>
      </x:c>
      <x:c r="I19" t="str">
        <x:v>Integration stopped updating</x:v>
      </x:c>
      <x:c r="J19" t="str">
        <x:v>Data that should flow from one system to another appears delayed or missing. The problem started after a password change.</x:v>
      </x:c>
      <x:c r="K19" t="str">
        <x:v>Line of Business App</x:v>
      </x:c>
      <x:c r="L19" t="str">
        <x:v>POS/ERP Error</x:v>
      </x:c>
      <x:c r="M19" t="str">
        <x:v>Small Team</x:v>
      </x:c>
      <x:c r="N19" t="str">
        <x:v>Medium</x:v>
      </x:c>
      <x:c r="O19" t="str">
        <x:v>P2</x:v>
      </x:c>
      <x:c r="P19" t="str">
        <x:v>Business Applications</x:v>
      </x:c>
      <x:c r="Q19" t="str">
        <x:v>What exact application, function, and error text are involved?</x:v>
      </x:c>
      <x:c r="R19" t="str">
        <x:v>Determine whether the issue is localized or business-wide.</x:v>
      </x:c>
      <x:c r="S19" t="str">
        <x:v>Yes</x:v>
      </x:c>
      <x:c r="T19" t="str">
        <x:v>Resolved after client-side remediation and user retest.</x:v>
      </x:c>
    </x:row>
    <x:row r="20">
      <x:c r="A20" t="str">
        <x:v>HD-20260019</x:v>
      </x:c>
      <x:c r="B20" t="str">
        <x:v>2026-01-17 15:59</x:v>
      </x:c>
      <x:c r="C20" t="str">
        <x:v>Chat</x:v>
      </x:c>
      <x:c r="D20" t="str">
        <x:v>Associate</x:v>
      </x:c>
      <x:c r="E20" t="str">
        <x:v>Customer Service</x:v>
      </x:c>
      <x:c r="F20" t="str">
        <x:v>Fort Worth Store</x:v>
      </x:c>
      <x:c r="G20" t="str">
        <x:v>Laptop</x:v>
      </x:c>
      <x:c r="H20" t="str">
        <x:v>Windows 11</x:v>
      </x:c>
      <x:c r="I20" t="str">
        <x:v>Cannot open mapped drive</x:v>
      </x:c>
      <x:c r="J20" t="str">
        <x:v>User can log in but receives an access or path error when attempting to open a mapped file share. The behavior is affecting normal job duties.</x:v>
      </x:c>
      <x:c r="K20" t="str">
        <x:v>Network/VPN</x:v>
      </x:c>
      <x:c r="L20" t="str">
        <x:v>Shared Drive Access</x:v>
      </x:c>
      <x:c r="M20" t="str">
        <x:v>Single User</x:v>
      </x:c>
      <x:c r="N20" t="str">
        <x:v>Medium</x:v>
      </x:c>
      <x:c r="O20" t="str">
        <x:v>P3</x:v>
      </x:c>
      <x:c r="P20" t="str">
        <x:v>Network Support</x:v>
      </x:c>
      <x:c r="Q20" t="str">
        <x:v>Did this start today, and does the issue happen on other networks?</x:v>
      </x:c>
      <x:c r="R20" t="str">
        <x:v>Confirm whether the issue affects one user or multiple users before escalating.</x:v>
      </x:c>
      <x:c r="S20" t="str">
        <x:v>Yes</x:v>
      </x:c>
      <x:c r="T20" t="str">
        <x:v>Resolved by restoring expected connectivity or application functionality.</x:v>
      </x:c>
    </x:row>
    <x:row r="21">
      <x:c r="A21" t="str">
        <x:v>HD-20260020</x:v>
      </x:c>
      <x:c r="B21" t="str">
        <x:v>2026-01-15 11:47</x:v>
      </x:c>
      <x:c r="C21" t="str">
        <x:v>Email</x:v>
      </x:c>
      <x:c r="D21" t="str">
        <x:v>Manager</x:v>
      </x:c>
      <x:c r="E21" t="str">
        <x:v>Warehouse</x:v>
      </x:c>
      <x:c r="F21" t="str">
        <x:v>Houston Branch</x:v>
      </x:c>
      <x:c r="G21" t="str">
        <x:v>Desktop</x:v>
      </x:c>
      <x:c r="H21" t="str">
        <x:v>Windows 11</x:v>
      </x:c>
      <x:c r="I21" t="str">
        <x:v>Integration stopped updating</x:v>
      </x:c>
      <x:c r="J21" t="str">
        <x:v>Data that should flow from one system to another appears delayed or missing. The issue appears limited to one device.</x:v>
      </x:c>
      <x:c r="K21" t="str">
        <x:v>Line of Business App</x:v>
      </x:c>
      <x:c r="L21" t="str">
        <x:v>POS/ERP Error</x:v>
      </x:c>
      <x:c r="M21" t="str">
        <x:v>Department</x:v>
      </x:c>
      <x:c r="N21" t="str">
        <x:v>Low</x:v>
      </x:c>
      <x:c r="O21" t="str">
        <x:v>P2</x:v>
      </x:c>
      <x:c r="P21" t="str">
        <x:v>Business Applications</x:v>
      </x:c>
      <x:c r="Q21" t="str">
        <x:v>Is there a business deadline or outage impact right now?</x:v>
      </x:c>
      <x:c r="R21" t="str">
        <x:v>Capture the exact module, transaction, and error message before escalation.</x:v>
      </x:c>
      <x:c r="S21" t="str">
        <x:v>Yes</x:v>
      </x:c>
      <x:c r="T21" t="str">
        <x:v>Resolved after client-side remediation and user retest.</x:v>
      </x:c>
    </x:row>
    <x:row r="22">
      <x:c r="A22" t="str">
        <x:v>HD-20260021</x:v>
      </x:c>
      <x:c r="B22" t="str">
        <x:v>2026-01-06 15:21</x:v>
      </x:c>
      <x:c r="C22" t="str">
        <x:v>Chat</x:v>
      </x:c>
      <x:c r="D22" t="str">
        <x:v>Supervisor</x:v>
      </x:c>
      <x:c r="E22" t="str">
        <x:v>HR</x:v>
      </x:c>
      <x:c r="F22" t="str">
        <x:v>Remote - Texas</x:v>
      </x:c>
      <x:c r="G22" t="str">
        <x:v>Laptop</x:v>
      </x:c>
      <x:c r="H22" t="str">
        <x:v>macOS</x:v>
      </x:c>
      <x:c r="I22" t="str">
        <x:v>OneDrive not syncing</x:v>
      </x:c>
      <x:c r="J22" t="str">
        <x:v>Files updated on one device are not appearing on another and sync shows errors. The issue appears limited to one device.</x:v>
      </x:c>
      <x:c r="K22" t="str">
        <x:v>File/Share Access</x:v>
      </x:c>
      <x:c r="L22" t="str">
        <x:v>Mapped Drive Missing</x:v>
      </x:c>
      <x:c r="M22" t="str">
        <x:v>Single User</x:v>
      </x:c>
      <x:c r="N22" t="str">
        <x:v>Low</x:v>
      </x:c>
      <x:c r="O22" t="str">
        <x:v>P4</x:v>
      </x:c>
      <x:c r="P22" t="str">
        <x:v>Infrastructure</x:v>
      </x:c>
      <x:c r="Q22" t="str">
        <x:v>Does this affect one user, a team, or an entire department share?</x:v>
      </x:c>
      <x:c r="R22" t="str">
        <x:v>Identify whether the issue affects only one user or multiple people.</x:v>
      </x:c>
      <x:c r="S22" t="str">
        <x:v>Yes</x:v>
      </x:c>
      <x:c r="T22" t="str">
        <x:v>Resolved after service desk triage and routing to the correct support team.</x:v>
      </x:c>
    </x:row>
    <x:row r="23">
      <x:c r="A23" t="str">
        <x:v>HD-20260022</x:v>
      </x:c>
      <x:c r="B23" t="str">
        <x:v>2026-01-18 23:27</x:v>
      </x:c>
      <x:c r="C23" t="str">
        <x:v>Portal</x:v>
      </x:c>
      <x:c r="D23" t="str">
        <x:v>Associate</x:v>
      </x:c>
      <x:c r="E23" t="str">
        <x:v>HR</x:v>
      </x:c>
      <x:c r="F23" t="str">
        <x:v>Fort Worth Store</x:v>
      </x:c>
      <x:c r="G23" t="str">
        <x:v>Laptop</x:v>
      </x:c>
      <x:c r="H23" t="str">
        <x:v>Windows 11</x:v>
      </x:c>
      <x:c r="I23" t="str">
        <x:v>VPN disconnects every few minutes</x:v>
      </x:c>
      <x:c r="J23" t="str">
        <x:v>User reports the VPN connects successfully but disconnects after 2 to 5 minutes, which drops access to internal resources. The user has already rebooted once.</x:v>
      </x:c>
      <x:c r="K23" t="str">
        <x:v>Network/VPN</x:v>
      </x:c>
      <x:c r="L23" t="str">
        <x:v>VPN Disconnect</x:v>
      </x:c>
      <x:c r="M23" t="str">
        <x:v>Department</x:v>
      </x:c>
      <x:c r="N23" t="str">
        <x:v>Medium</x:v>
      </x:c>
      <x:c r="O23" t="str">
        <x:v>P2</x:v>
      </x:c>
      <x:c r="P23" t="str">
        <x:v>Network Support</x:v>
      </x:c>
      <x:c r="Q23" t="str">
        <x:v>Are you remote or in the office, and what exact error do you see?</x:v>
      </x:c>
      <x:c r="R23" t="str">
        <x:v>Confirm whether the issue affects one user or multiple users before escalating.</x:v>
      </x:c>
      <x:c r="S23" t="str">
        <x:v>Yes</x:v>
      </x:c>
      <x:c r="T23" t="str">
        <x:v>Issue resolved after standard troubleshooting and confirmation from user.</x:v>
      </x:c>
    </x:row>
    <x:row r="24">
      <x:c r="A24" t="str">
        <x:v>HD-20260023</x:v>
      </x:c>
      <x:c r="B24" t="str">
        <x:v>2026-03-16 12:11</x:v>
      </x:c>
      <x:c r="C24" t="str">
        <x:v>Email</x:v>
      </x:c>
      <x:c r="D24" t="str">
        <x:v>Associate</x:v>
      </x:c>
      <x:c r="E24" t="str">
        <x:v>Executive</x:v>
      </x:c>
      <x:c r="F24" t="str">
        <x:v>Houston Branch</x:v>
      </x:c>
      <x:c r="G24" t="str">
        <x:v>Mobile</x:v>
      </x:c>
      <x:c r="H24" t="str">
        <x:v>Android</x:v>
      </x:c>
      <x:c r="I24" t="str">
        <x:v>Authenticator app issue on phone</x:v>
      </x:c>
      <x:c r="J24" t="str">
        <x:v>User changed phones or restored a device and cannot complete sign-in. The behavior is affecting normal job duties.</x:v>
      </x:c>
      <x:c r="K24" t="str">
        <x:v>Mobile/Remote</x:v>
      </x:c>
      <x:c r="L24" t="str">
        <x:v>Phone App Issue</x:v>
      </x:c>
      <x:c r="M24" t="str">
        <x:v>Department</x:v>
      </x:c>
      <x:c r="N24" t="str">
        <x:v>High</x:v>
      </x:c>
      <x:c r="O24" t="str">
        <x:v>P1</x:v>
      </x:c>
      <x:c r="P24" t="str">
        <x:v>Mobility Team</x:v>
      </x:c>
      <x:c r="Q24" t="str">
        <x:v>Is the problem limited to mobile access, or does the same account fail on desktop too?</x:v>
      </x:c>
      <x:c r="R24" t="str">
        <x:v>Document the phone type and any recent replacement, reset, or restore.</x:v>
      </x:c>
      <x:c r="S24" t="str">
        <x:v>No</x:v>
      </x:c>
      <x:c r="T24" t="str">
        <x:v>Escalated to owning team for deeper investigation.</x:v>
      </x:c>
    </x:row>
    <x:row r="25">
      <x:c r="A25" t="str">
        <x:v>HD-20260024</x:v>
      </x:c>
      <x:c r="B25" t="str">
        <x:v>2026-02-14 14:22</x:v>
      </x:c>
      <x:c r="C25" t="str">
        <x:v>Phone</x:v>
      </x:c>
      <x:c r="D25" t="str">
        <x:v>Specialist</x:v>
      </x:c>
      <x:c r="E25" t="str">
        <x:v>Marketing</x:v>
      </x:c>
      <x:c r="F25" t="str">
        <x:v>Dallas HQ</x:v>
      </x:c>
      <x:c r="G25" t="str">
        <x:v>Laptop</x:v>
      </x:c>
      <x:c r="H25" t="str">
        <x:v>Android</x:v>
      </x:c>
      <x:c r="I25" t="str">
        <x:v>Outlook keeps asking for password</x:v>
      </x:c>
      <x:c r="J25" t="str">
        <x:v>Outlook opens but repeatedly prompts for credentials and does not stay connected. The user has already rebooted once.</x:v>
      </x:c>
      <x:c r="K25" t="str">
        <x:v>Email &amp; Collaboration</x:v>
      </x:c>
      <x:c r="L25" t="str">
        <x:v>Teams/Zoom Issue</x:v>
      </x:c>
      <x:c r="M25" t="str">
        <x:v>Single User</x:v>
      </x:c>
      <x:c r="N25" t="str">
        <x:v>High</x:v>
      </x:c>
      <x:c r="O25" t="str">
        <x:v>P2</x:v>
      </x:c>
      <x:c r="P25" t="str">
        <x:v>Messaging Team</x:v>
      </x:c>
      <x:c r="Q25" t="str">
        <x:v>Is the issue only in Outlook, or does it also happen in webmail or Teams?</x:v>
      </x:c>
      <x:c r="R25" t="str">
        <x:v>Confirm whether the issue reproduces in the web client to isolate app versus service problems.</x:v>
      </x:c>
      <x:c r="S25" t="str">
        <x:v>Yes</x:v>
      </x:c>
      <x:c r="T25" t="str">
        <x:v>Resolved after service desk triage and routing to the correct support team.</x:v>
      </x:c>
    </x:row>
    <x:row r="26">
      <x:c r="A26" t="str">
        <x:v>HD-20260025</x:v>
      </x:c>
      <x:c r="B26" t="str">
        <x:v>2026-03-19 07:34</x:v>
      </x:c>
      <x:c r="C26" t="str">
        <x:v>Email</x:v>
      </x:c>
      <x:c r="D26" t="str">
        <x:v>Associate</x:v>
      </x:c>
      <x:c r="E26" t="str">
        <x:v>Customer Service</x:v>
      </x:c>
      <x:c r="F26" t="str">
        <x:v>Austin Branch</x:v>
      </x:c>
      <x:c r="G26" t="str">
        <x:v>Desktop</x:v>
      </x:c>
      <x:c r="H26" t="str">
        <x:v>macOS</x:v>
      </x:c>
      <x:c r="I26" t="str">
        <x:v>Application closes on launch</x:v>
      </x:c>
      <x:c r="J26" t="str">
        <x:v>User states that a business application opens briefly and then crashes every time. The issue began this morning.</x:v>
      </x:c>
      <x:c r="K26" t="str">
        <x:v>Software</x:v>
      </x:c>
      <x:c r="L26" t="str">
        <x:v>License Issue</x:v>
      </x:c>
      <x:c r="M26" t="str">
        <x:v>Single User</x:v>
      </x:c>
      <x:c r="N26" t="str">
        <x:v>Medium</x:v>
      </x:c>
      <x:c r="O26" t="str">
        <x:v>P3</x:v>
      </x:c>
      <x:c r="P26" t="str">
        <x:v>Desktop Support</x:v>
      </x:c>
      <x:c r="Q26" t="str">
        <x:v>Is the software request already approved by the manager or application owner?</x:v>
      </x:c>
      <x:c r="R26" t="str">
        <x:v>Confirm the exact application name and whether the failure began after an update or change.</x:v>
      </x:c>
      <x:c r="S26" t="str">
        <x:v>No</x:v>
      </x:c>
      <x:c r="T26" t="str">
        <x:v>Pending vendor, infrastructure, or application team review.</x:v>
      </x:c>
    </x:row>
    <x:row r="27">
      <x:c r="A27" t="str">
        <x:v>HD-20260026</x:v>
      </x:c>
      <x:c r="B27" t="str">
        <x:v>2026-01-16 04:24</x:v>
      </x:c>
      <x:c r="C27" t="str">
        <x:v>Email</x:v>
      </x:c>
      <x:c r="D27" t="str">
        <x:v>Director</x:v>
      </x:c>
      <x:c r="E27" t="str">
        <x:v>Operations</x:v>
      </x:c>
      <x:c r="F27" t="str">
        <x:v>Austin Branch</x:v>
      </x:c>
      <x:c r="G27" t="str">
        <x:v>Desktop</x:v>
      </x:c>
      <x:c r="H27" t="str">
        <x:v>iPhone</x:v>
      </x:c>
      <x:c r="I27" t="str">
        <x:v>Single sign-on loop</x:v>
      </x:c>
      <x:c r="J27" t="str">
        <x:v>User is repeatedly redirected to the sign-in page and cannot complete authentication. No recent hardware changes were reported.</x:v>
      </x:c>
      <x:c r="K27" t="str">
        <x:v>Identity &amp; Access</x:v>
      </x:c>
      <x:c r="L27" t="str">
        <x:v>Permission Request</x:v>
      </x:c>
      <x:c r="M27" t="str">
        <x:v>Single User</x:v>
      </x:c>
      <x:c r="N27" t="str">
        <x:v>High</x:v>
      </x:c>
      <x:c r="O27" t="str">
        <x:v>P2</x:v>
      </x:c>
      <x:c r="P27" t="str">
        <x:v>Service Desk</x:v>
      </x:c>
      <x:c r="Q27" t="str">
        <x:v>Did you change phones, numbers, or authenticators recently?</x:v>
      </x:c>
      <x:c r="R27" t="str">
        <x:v>Verify identity, confirm scope of the failure, then check account status and MFA registration.</x:v>
      </x:c>
      <x:c r="S27" t="str">
        <x:v>No</x:v>
      </x:c>
      <x:c r="T27" t="str">
        <x:v>Under investigation due to inability to reproduce consistently.</x:v>
      </x:c>
    </x:row>
    <x:row r="28">
      <x:c r="A28" t="str">
        <x:v>HD-20260027</x:v>
      </x:c>
      <x:c r="B28" t="str">
        <x:v>2026-02-18 14:19</x:v>
      </x:c>
      <x:c r="C28" t="str">
        <x:v>Portal</x:v>
      </x:c>
      <x:c r="D28" t="str">
        <x:v>Director</x:v>
      </x:c>
      <x:c r="E28" t="str">
        <x:v>Executive</x:v>
      </x:c>
      <x:c r="F28" t="str">
        <x:v>Fort Worth Store</x:v>
      </x:c>
      <x:c r="G28" t="str">
        <x:v>Desktop</x:v>
      </x:c>
      <x:c r="H28" t="str">
        <x:v>Windows 10</x:v>
      </x:c>
      <x:c r="I28" t="str">
        <x:v>Scan to email not working</x:v>
      </x:c>
      <x:c r="J28" t="str">
        <x:v>Multi-function device scans locally but fails when sending email. The user states the issue was intermittent yesterday and is now constant.</x:v>
      </x:c>
      <x:c r="K28" t="str">
        <x:v>Printing</x:v>
      </x:c>
      <x:c r="L28" t="str">
        <x:v>Cannot Print</x:v>
      </x:c>
      <x:c r="M28" t="str">
        <x:v>Small Team</x:v>
      </x:c>
      <x:c r="N28" t="str">
        <x:v>High</x:v>
      </x:c>
      <x:c r="O28" t="str">
        <x:v>P2</x:v>
      </x:c>
      <x:c r="P28" t="str">
        <x:v>Field Support</x:v>
      </x:c>
      <x:c r="Q28" t="str">
        <x:v>Can the user print a test page from another application?</x:v>
      </x:c>
      <x:c r="R28" t="str">
        <x:v>Confirm the exact printer name and model before reinstalling drivers.</x:v>
      </x:c>
      <x:c r="S28" t="str">
        <x:v>Yes</x:v>
      </x:c>
      <x:c r="T28" t="str">
        <x:v>Resolved after service desk triage and routing to the correct support team.</x:v>
      </x:c>
    </x:row>
    <x:row r="29">
      <x:c r="A29" t="str">
        <x:v>HD-20260028</x:v>
      </x:c>
      <x:c r="B29" t="str">
        <x:v>2026-02-27 02:41</x:v>
      </x:c>
      <x:c r="C29" t="str">
        <x:v>Portal</x:v>
      </x:c>
      <x:c r="D29" t="str">
        <x:v>Coordinator</x:v>
      </x:c>
      <x:c r="E29" t="str">
        <x:v>Customer Service</x:v>
      </x:c>
      <x:c r="F29" t="str">
        <x:v>Austin Branch</x:v>
      </x:c>
      <x:c r="G29" t="str">
        <x:v>Desktop</x:v>
      </x:c>
      <x:c r="H29" t="str">
        <x:v>Windows 11</x:v>
      </x:c>
      <x:c r="I29" t="str">
        <x:v>Integration stopped updating</x:v>
      </x:c>
      <x:c r="J29" t="str">
        <x:v>Data that should flow from one system to another appears delayed or missing. The problem started after a password change.</x:v>
      </x:c>
      <x:c r="K29" t="str">
        <x:v>Line of Business App</x:v>
      </x:c>
      <x:c r="L29" t="str">
        <x:v>Report Failure</x:v>
      </x:c>
      <x:c r="M29" t="str">
        <x:v>Single User</x:v>
      </x:c>
      <x:c r="N29" t="str">
        <x:v>High</x:v>
      </x:c>
      <x:c r="O29" t="str">
        <x:v>P2</x:v>
      </x:c>
      <x:c r="P29" t="str">
        <x:v>Business Applications</x:v>
      </x:c>
      <x:c r="Q29" t="str">
        <x:v>Is there a business deadline or outage impact right now?</x:v>
      </x:c>
      <x:c r="R29" t="str">
        <x:v>Capture the exact module, transaction, and error message before escalation.</x:v>
      </x:c>
      <x:c r="S29" t="str">
        <x:v>Yes</x:v>
      </x:c>
      <x:c r="T29" t="str">
        <x:v>Resolved by correcting account or permission settings and validating access.</x:v>
      </x:c>
    </x:row>
    <x:row r="30">
      <x:c r="A30" t="str">
        <x:v>HD-20260029</x:v>
      </x:c>
      <x:c r="B30" t="str">
        <x:v>2026-03-04 17:19</x:v>
      </x:c>
      <x:c r="C30" t="str">
        <x:v>Email</x:v>
      </x:c>
      <x:c r="D30" t="str">
        <x:v>Specialist</x:v>
      </x:c>
      <x:c r="E30" t="str">
        <x:v>Operations</x:v>
      </x:c>
      <x:c r="F30" t="str">
        <x:v>Fort Worth Store</x:v>
      </x:c>
      <x:c r="G30" t="str">
        <x:v>Desktop</x:v>
      </x:c>
      <x:c r="H30" t="str">
        <x:v>Windows 11</x:v>
      </x:c>
      <x:c r="I30" t="str">
        <x:v>Browser cannot open business site</x:v>
      </x:c>
      <x:c r="J30" t="str">
        <x:v>Corporate web application loads incorrectly or produces script or certificate related issues. The problem started after a password change.</x:v>
      </x:c>
      <x:c r="K30" t="str">
        <x:v>Software</x:v>
      </x:c>
      <x:c r="L30" t="str">
        <x:v>Browser Problem</x:v>
      </x:c>
      <x:c r="M30" t="str">
        <x:v>Department</x:v>
      </x:c>
      <x:c r="N30" t="str">
        <x:v>Medium</x:v>
      </x:c>
      <x:c r="O30" t="str">
        <x:v>P2</x:v>
      </x:c>
      <x:c r="P30" t="str">
        <x:v>Desktop Support</x:v>
      </x:c>
      <x:c r="Q30" t="str">
        <x:v>What exact application and version are involved, and when did it last work?</x:v>
      </x:c>
      <x:c r="R30" t="str">
        <x:v>Confirm the exact application name and whether the failure began after an update or change.</x:v>
      </x:c>
      <x:c r="S30" t="str">
        <x:v>No</x:v>
      </x:c>
      <x:c r="T30" t="str">
        <x:v>Under investigation due to inability to reproduce consistently.</x:v>
      </x:c>
    </x:row>
    <x:row r="31">
      <x:c r="A31" t="str">
        <x:v>HD-20260030</x:v>
      </x:c>
      <x:c r="B31" t="str">
        <x:v>2026-01-27 03:09</x:v>
      </x:c>
      <x:c r="C31" t="str">
        <x:v>Chat</x:v>
      </x:c>
      <x:c r="D31" t="str">
        <x:v>Specialist</x:v>
      </x:c>
      <x:c r="E31" t="str">
        <x:v>Sales</x:v>
      </x:c>
      <x:c r="F31" t="str">
        <x:v>Fort Worth Store</x:v>
      </x:c>
      <x:c r="G31" t="str">
        <x:v>Laptop</x:v>
      </x:c>
      <x:c r="H31" t="str">
        <x:v>macOS</x:v>
      </x:c>
      <x:c r="I31" t="str">
        <x:v>Need file restored</x:v>
      </x:c>
      <x:c r="J31" t="str">
        <x:v>User accidentally deleted or overwrote a file and is requesting recovery options. Another coworker reported a similar symptom.</x:v>
      </x:c>
      <x:c r="K31" t="str">
        <x:v>File/Share Access</x:v>
      </x:c>
      <x:c r="L31" t="str">
        <x:v>File Recovery</x:v>
      </x:c>
      <x:c r="M31" t="str">
        <x:v>Small Team</x:v>
      </x:c>
      <x:c r="N31" t="str">
        <x:v>Medium</x:v>
      </x:c>
      <x:c r="O31" t="str">
        <x:v>P2</x:v>
      </x:c>
      <x:c r="P31" t="str">
        <x:v>Infrastructure</x:v>
      </x:c>
      <x:c r="Q31" t="str">
        <x:v>Does this affect one user, a team, or an entire department share?</x:v>
      </x:c>
      <x:c r="R31" t="str">
        <x:v>Collect the exact share, site, or path so support can verify access quickly.</x:v>
      </x:c>
      <x:c r="S31" t="str">
        <x:v>Yes</x:v>
      </x:c>
      <x:c r="T31" t="str">
        <x:v>Resolved by restoring expected connectivity or application functionality.</x:v>
      </x:c>
    </x:row>
    <x:row r="32">
      <x:c r="A32" t="str">
        <x:v>HD-20260031</x:v>
      </x:c>
      <x:c r="B32" t="str">
        <x:v>2026-02-20 15:35</x:v>
      </x:c>
      <x:c r="C32" t="str">
        <x:v>Chat</x:v>
      </x:c>
      <x:c r="D32" t="str">
        <x:v>Specialist</x:v>
      </x:c>
      <x:c r="E32" t="str">
        <x:v>Customer Service</x:v>
      </x:c>
      <x:c r="F32" t="str">
        <x:v>Austin Branch</x:v>
      </x:c>
      <x:c r="G32" t="str">
        <x:v>Laptop</x:v>
      </x:c>
      <x:c r="H32" t="str">
        <x:v>Windows 10</x:v>
      </x:c>
      <x:c r="I32" t="str">
        <x:v>Internal host names not resolving</x:v>
      </x:c>
      <x:c r="J32" t="str">
        <x:v>User can browse the public internet but cannot resolve internal server names while on the network. Another coworker reported a similar symptom.</x:v>
      </x:c>
      <x:c r="K32" t="str">
        <x:v>Network/VPN</x:v>
      </x:c>
      <x:c r="L32" t="str">
        <x:v>Wi-Fi Connectivity</x:v>
      </x:c>
      <x:c r="M32" t="str">
        <x:v>Single User</x:v>
      </x:c>
      <x:c r="N32" t="str">
        <x:v>Medium</x:v>
      </x:c>
      <x:c r="O32" t="str">
        <x:v>P3</x:v>
      </x:c>
      <x:c r="P32" t="str">
        <x:v>Network Support</x:v>
      </x:c>
      <x:c r="Q32" t="str">
        <x:v>Can you reach the internet and internal resources separately, or neither?</x:v>
      </x:c>
      <x:c r="R32" t="str">
        <x:v>Test name resolution and access to internal resources to separate VPN, DNS, and permissions issues.</x:v>
      </x:c>
      <x:c r="S32" t="str">
        <x:v>Yes</x:v>
      </x:c>
      <x:c r="T32" t="str">
        <x:v>Resolved by restoring expected connectivity or application functionality.</x:v>
      </x:c>
    </x:row>
    <x:row r="33">
      <x:c r="A33" t="str">
        <x:v>HD-20260032</x:v>
      </x:c>
      <x:c r="B33" t="str">
        <x:v>2026-03-13 16:33</x:v>
      </x:c>
      <x:c r="C33" t="str">
        <x:v>Email</x:v>
      </x:c>
      <x:c r="D33" t="str">
        <x:v>Supervisor</x:v>
      </x:c>
      <x:c r="E33" t="str">
        <x:v>IT</x:v>
      </x:c>
      <x:c r="F33" t="str">
        <x:v>Houston Branch</x:v>
      </x:c>
      <x:c r="G33" t="str">
        <x:v>Desktop</x:v>
      </x:c>
      <x:c r="H33" t="str">
        <x:v>Windows 10</x:v>
      </x:c>
      <x:c r="I33" t="str">
        <x:v>Teams audio not working</x:v>
      </x:c>
      <x:c r="J33" t="str">
        <x:v>User can join meetings but cannot hear audio or the microphone is not detected properly. The user has already rebooted once.</x:v>
      </x:c>
      <x:c r="K33" t="str">
        <x:v>Email &amp; Collaboration</x:v>
      </x:c>
      <x:c r="L33" t="str">
        <x:v>Teams/Zoom Issue</x:v>
      </x:c>
      <x:c r="M33" t="str">
        <x:v>Department</x:v>
      </x:c>
      <x:c r="N33" t="str">
        <x:v>Low</x:v>
      </x:c>
      <x:c r="O33" t="str">
        <x:v>P2</x:v>
      </x:c>
      <x:c r="P33" t="str">
        <x:v>Messaging Team</x:v>
      </x:c>
      <x:c r="Q33" t="str">
        <x:v>Does this affect one mailbox or multiple users?</x:v>
      </x:c>
      <x:c r="R33" t="str">
        <x:v>Confirm whether the issue reproduces in the web client to isolate app versus service problems.</x:v>
      </x:c>
      <x:c r="S33" t="str">
        <x:v>Yes</x:v>
      </x:c>
      <x:c r="T33" t="str">
        <x:v>Resolved after client-side remediation and user retest.</x:v>
      </x:c>
    </x:row>
    <x:row r="34">
      <x:c r="A34" t="str">
        <x:v>HD-20260033</x:v>
      </x:c>
      <x:c r="B34" t="str">
        <x:v>2026-01-11 19:26</x:v>
      </x:c>
      <x:c r="C34" t="str">
        <x:v>Portal</x:v>
      </x:c>
      <x:c r="D34" t="str">
        <x:v>Director</x:v>
      </x:c>
      <x:c r="E34" t="str">
        <x:v>Executive</x:v>
      </x:c>
      <x:c r="F34" t="str">
        <x:v>Fort Worth Store</x:v>
      </x:c>
      <x:c r="G34" t="str">
        <x:v>Laptop</x:v>
      </x:c>
      <x:c r="H34" t="str">
        <x:v>Windows 11</x:v>
      </x:c>
      <x:c r="I34" t="str">
        <x:v>Cannot print from one application</x:v>
      </x:c>
      <x:c r="J34" t="str">
        <x:v>Printing fails from a specific line-of-business or PDF application only. The user is remote and connected through home internet.</x:v>
      </x:c>
      <x:c r="K34" t="str">
        <x:v>Printing</x:v>
      </x:c>
      <x:c r="L34" t="str">
        <x:v>Cannot Print</x:v>
      </x:c>
      <x:c r="M34" t="str">
        <x:v>Single User</x:v>
      </x:c>
      <x:c r="N34" t="str">
        <x:v>Medium</x:v>
      </x:c>
      <x:c r="O34" t="str">
        <x:v>P3</x:v>
      </x:c>
      <x:c r="P34" t="str">
        <x:v>Field Support</x:v>
      </x:c>
      <x:c r="Q34" t="str">
        <x:v>Can the user print a test page from another application?</x:v>
      </x:c>
      <x:c r="R34" t="str">
        <x:v>Identify whether the failure is user-specific, workstation-specific, or printer-wide.</x:v>
      </x:c>
      <x:c r="S34" t="str">
        <x:v>No</x:v>
      </x:c>
      <x:c r="T34" t="str">
        <x:v>Open pending approval, access change, or replacement hardware.</x:v>
      </x:c>
    </x:row>
    <x:row r="35">
      <x:c r="A35" t="str">
        <x:v>HD-20260034</x:v>
      </x:c>
      <x:c r="B35" t="str">
        <x:v>2026-02-08 14:54</x:v>
      </x:c>
      <x:c r="C35" t="str">
        <x:v>Phone</x:v>
      </x:c>
      <x:c r="D35" t="str">
        <x:v>Analyst</x:v>
      </x:c>
      <x:c r="E35" t="str">
        <x:v>Executive</x:v>
      </x:c>
      <x:c r="F35" t="str">
        <x:v>Fort Worth Store</x:v>
      </x:c>
      <x:c r="G35" t="str">
        <x:v>Desktop</x:v>
      </x:c>
      <x:c r="H35" t="str">
        <x:v>Windows 11</x:v>
      </x:c>
      <x:c r="I35" t="str">
        <x:v>Internal host names not resolving</x:v>
      </x:c>
      <x:c r="J35" t="str">
        <x:v>User can browse the public internet but cannot resolve internal server names while on the network. A screenshot is available in the ticket.</x:v>
      </x:c>
      <x:c r="K35" t="str">
        <x:v>Network/VPN</x:v>
      </x:c>
      <x:c r="L35" t="str">
        <x:v>DNS/Name Resolution</x:v>
      </x:c>
      <x:c r="M35" t="str">
        <x:v>Department</x:v>
      </x:c>
      <x:c r="N35" t="str">
        <x:v>Low</x:v>
      </x:c>
      <x:c r="O35" t="str">
        <x:v>P2</x:v>
      </x:c>
      <x:c r="P35" t="str">
        <x:v>Network Support</x:v>
      </x:c>
      <x:c r="Q35" t="str">
        <x:v>Can you reach the internet and internal resources separately, or neither?</x:v>
      </x:c>
      <x:c r="R35" t="str">
        <x:v>Test name resolution and access to internal resources to separate VPN, DNS, and permissions issues.</x:v>
      </x:c>
      <x:c r="S35" t="str">
        <x:v>Yes</x:v>
      </x:c>
      <x:c r="T35" t="str">
        <x:v>Resolved after client-side remediation and user retest.</x:v>
      </x:c>
    </x:row>
    <x:row r="36">
      <x:c r="A36" t="str">
        <x:v>HD-20260035</x:v>
      </x:c>
      <x:c r="B36" t="str">
        <x:v>2026-01-20 10:53</x:v>
      </x:c>
      <x:c r="C36" t="str">
        <x:v>Chat</x:v>
      </x:c>
      <x:c r="D36" t="str">
        <x:v>Manager</x:v>
      </x:c>
      <x:c r="E36" t="str">
        <x:v>IT</x:v>
      </x:c>
      <x:c r="F36" t="str">
        <x:v>Remote - Texas</x:v>
      </x:c>
      <x:c r="G36" t="str">
        <x:v>Desktop</x:v>
      </x:c>
      <x:c r="H36" t="str">
        <x:v>macOS</x:v>
      </x:c>
      <x:c r="I36" t="str">
        <x:v>Department share no longer available</x:v>
      </x:c>
      <x:c r="J36" t="str">
        <x:v>User says a shared folder used daily is no longer mapped or cannot be opened. The problem started after a password change.</x:v>
      </x:c>
      <x:c r="K36" t="str">
        <x:v>File/Share Access</x:v>
      </x:c>
      <x:c r="L36" t="str">
        <x:v>SharePoint/OneDrive</x:v>
      </x:c>
      <x:c r="M36" t="str">
        <x:v>Small Team</x:v>
      </x:c>
      <x:c r="N36" t="str">
        <x:v>Medium</x:v>
      </x:c>
      <x:c r="O36" t="str">
        <x:v>P2</x:v>
      </x:c>
      <x:c r="P36" t="str">
        <x:v>Infrastructure</x:v>
      </x:c>
      <x:c r="Q36" t="str">
        <x:v>Do you know the exact path, site, or file name involved?</x:v>
      </x:c>
      <x:c r="R36" t="str">
        <x:v>Clarify whether the issue is permissions, pathing, sync, or deletion before routing.</x:v>
      </x:c>
      <x:c r="S36" t="str">
        <x:v>Yes</x:v>
      </x:c>
      <x:c r="T36" t="str">
        <x:v>Issue resolved after standard troubleshooting and confirmation from user.</x:v>
      </x:c>
    </x:row>
    <x:row r="37">
      <x:c r="A37" t="str">
        <x:v>HD-20260036</x:v>
      </x:c>
      <x:c r="B37" t="str">
        <x:v>2026-02-07 16:17</x:v>
      </x:c>
      <x:c r="C37" t="str">
        <x:v>Chat</x:v>
      </x:c>
      <x:c r="D37" t="str">
        <x:v>Director</x:v>
      </x:c>
      <x:c r="E37" t="str">
        <x:v>Executive</x:v>
      </x:c>
      <x:c r="F37" t="str">
        <x:v>Houston Branch</x:v>
      </x:c>
      <x:c r="G37" t="str">
        <x:v>Laptop</x:v>
      </x:c>
      <x:c r="H37" t="str">
        <x:v>Windows 11</x:v>
      </x:c>
      <x:c r="I37" t="str">
        <x:v>Antivirus blocked file</x:v>
      </x:c>
      <x:c r="J37" t="str">
        <x:v>Endpoint protection quarantined a file and the user wants to know whether it is safe. No recent hardware changes were reported.</x:v>
      </x:c>
      <x:c r="K37" t="str">
        <x:v>Security</x:v>
      </x:c>
      <x:c r="L37" t="str">
        <x:v>Data Loss Concern</x:v>
      </x:c>
      <x:c r="M37" t="str">
        <x:v>Single User</x:v>
      </x:c>
      <x:c r="N37" t="str">
        <x:v>High</x:v>
      </x:c>
      <x:c r="O37" t="str">
        <x:v>P2</x:v>
      </x:c>
      <x:c r="P37" t="str">
        <x:v>Security Operations</x:v>
      </x:c>
      <x:c r="Q37" t="str">
        <x:v>What file, site, or sender triggered the alert?</x:v>
      </x:c>
      <x:c r="R37" t="str">
        <x:v>Treat the report as security-sensitive, preserve evidence, and avoid telling the user to continue interacting with the content.</x:v>
      </x:c>
      <x:c r="S37" t="str">
        <x:v>Yes</x:v>
      </x:c>
      <x:c r="T37" t="str">
        <x:v>Resolved after client-side remediation and user retest.</x:v>
      </x:c>
    </x:row>
    <x:row r="38">
      <x:c r="A38" t="str">
        <x:v>HD-20260037</x:v>
      </x:c>
      <x:c r="B38" t="str">
        <x:v>2026-01-26 16:08</x:v>
      </x:c>
      <x:c r="C38" t="str">
        <x:v>Email</x:v>
      </x:c>
      <x:c r="D38" t="str">
        <x:v>Supervisor</x:v>
      </x:c>
      <x:c r="E38" t="str">
        <x:v>IT</x:v>
      </x:c>
      <x:c r="F38" t="str">
        <x:v>Houston Branch</x:v>
      </x:c>
      <x:c r="G38" t="str">
        <x:v>Laptop</x:v>
      </x:c>
      <x:c r="H38" t="str">
        <x:v>Windows 10</x:v>
      </x:c>
      <x:c r="I38" t="str">
        <x:v>Locked out after too many attempts</x:v>
      </x:c>
      <x:c r="J38" t="str">
        <x:v>User can no longer sign in after repeated password attempts and believes the account is locked. The user states the issue was intermittent yesterday and is now constant.</x:v>
      </x:c>
      <x:c r="K38" t="str">
        <x:v>Identity &amp; Access</x:v>
      </x:c>
      <x:c r="L38" t="str">
        <x:v>Password Reset</x:v>
      </x:c>
      <x:c r="M38" t="str">
        <x:v>Department</x:v>
      </x:c>
      <x:c r="N38" t="str">
        <x:v>Medium</x:v>
      </x:c>
      <x:c r="O38" t="str">
        <x:v>P2</x:v>
      </x:c>
      <x:c r="P38" t="str">
        <x:v>Service Desk</x:v>
      </x:c>
      <x:c r="Q38" t="str">
        <x:v>Are you able to sign in anywhere else, or is the problem affecting every login?</x:v>
      </x:c>
      <x:c r="R38" t="str">
        <x:v>Confirm whether the user recently changed credentials or devices before resetting anything.</x:v>
      </x:c>
      <x:c r="S38" t="str">
        <x:v>Yes</x:v>
      </x:c>
      <x:c r="T38" t="str">
        <x:v>Resolved after client-side remediation and user retest.</x:v>
      </x:c>
    </x:row>
    <x:row r="39">
      <x:c r="A39" t="str">
        <x:v>HD-20260038</x:v>
      </x:c>
      <x:c r="B39" t="str">
        <x:v>2026-03-05 03:58</x:v>
      </x:c>
      <x:c r="C39" t="str">
        <x:v>Chat</x:v>
      </x:c>
      <x:c r="D39" t="str">
        <x:v>Coordinator</x:v>
      </x:c>
      <x:c r="E39" t="str">
        <x:v>Executive</x:v>
      </x:c>
      <x:c r="F39" t="str">
        <x:v>Austin Branch</x:v>
      </x:c>
      <x:c r="G39" t="str">
        <x:v>Laptop</x:v>
      </x:c>
      <x:c r="H39" t="str">
        <x:v>Windows 10</x:v>
      </x:c>
      <x:c r="I39" t="str">
        <x:v>Integration stopped updating</x:v>
      </x:c>
      <x:c r="J39" t="str">
        <x:v>Data that should flow from one system to another appears delayed or missing. The problem started after a password change.</x:v>
      </x:c>
      <x:c r="K39" t="str">
        <x:v>Line of Business App</x:v>
      </x:c>
      <x:c r="L39" t="str">
        <x:v>POS/ERP Error</x:v>
      </x:c>
      <x:c r="M39" t="str">
        <x:v>Single User</x:v>
      </x:c>
      <x:c r="N39" t="str">
        <x:v>Medium</x:v>
      </x:c>
      <x:c r="O39" t="str">
        <x:v>P3</x:v>
      </x:c>
      <x:c r="P39" t="str">
        <x:v>Business Applications</x:v>
      </x:c>
      <x:c r="Q39" t="str">
        <x:v>What exact application, function, and error text are involved?</x:v>
      </x:c>
      <x:c r="R39" t="str">
        <x:v>Capture the exact module, transaction, and error message before escalation.</x:v>
      </x:c>
      <x:c r="S39" t="str">
        <x:v>Yes</x:v>
      </x:c>
      <x:c r="T39" t="str">
        <x:v>Resolved by correcting account or permission settings and validating access.</x:v>
      </x:c>
    </x:row>
    <x:row r="40">
      <x:c r="A40" t="str">
        <x:v>HD-20260039</x:v>
      </x:c>
      <x:c r="B40" t="str">
        <x:v>2026-01-12 05:32</x:v>
      </x:c>
      <x:c r="C40" t="str">
        <x:v>Chat</x:v>
      </x:c>
      <x:c r="D40" t="str">
        <x:v>Associate</x:v>
      </x:c>
      <x:c r="E40" t="str">
        <x:v>Customer Service</x:v>
      </x:c>
      <x:c r="F40" t="str">
        <x:v>Remote - Texas</x:v>
      </x:c>
      <x:c r="G40" t="str">
        <x:v>Laptop</x:v>
      </x:c>
      <x:c r="H40" t="str">
        <x:v>Windows 10</x:v>
      </x:c>
      <x:c r="I40" t="str">
        <x:v>Browser cannot open business site</x:v>
      </x:c>
      <x:c r="J40" t="str">
        <x:v>Corporate web application loads incorrectly or produces script or certificate related issues. The user states the issue was intermittent yesterday and is now constant.</x:v>
      </x:c>
      <x:c r="K40" t="str">
        <x:v>Software</x:v>
      </x:c>
      <x:c r="L40" t="str">
        <x:v>Application Crash</x:v>
      </x:c>
      <x:c r="M40" t="str">
        <x:v>Single User</x:v>
      </x:c>
      <x:c r="N40" t="str">
        <x:v>Medium</x:v>
      </x:c>
      <x:c r="O40" t="str">
        <x:v>P3</x:v>
      </x:c>
      <x:c r="P40" t="str">
        <x:v>Desktop Support</x:v>
      </x:c>
      <x:c r="Q40" t="str">
        <x:v>Is the software request already approved by the manager or application owner?</x:v>
      </x:c>
      <x:c r="R40" t="str">
        <x:v>Confirm the exact application name and whether the failure began after an update or change.</x:v>
      </x:c>
      <x:c r="S40" t="str">
        <x:v>No</x:v>
      </x:c>
      <x:c r="T40" t="str">
        <x:v>Open pending approval, access change, or replacement hardware.</x:v>
      </x:c>
    </x:row>
    <x:row r="41">
      <x:c r="A41" t="str">
        <x:v>HD-20260040</x:v>
      </x:c>
      <x:c r="B41" t="str">
        <x:v>2026-03-17 19:46</x:v>
      </x:c>
      <x:c r="C41" t="str">
        <x:v>Chat</x:v>
      </x:c>
      <x:c r="D41" t="str">
        <x:v>Director</x:v>
      </x:c>
      <x:c r="E41" t="str">
        <x:v>Marketing</x:v>
      </x:c>
      <x:c r="F41" t="str">
        <x:v>Remote - Texas</x:v>
      </x:c>
      <x:c r="G41" t="str">
        <x:v>Mobile</x:v>
      </x:c>
      <x:c r="H41" t="str">
        <x:v>iPhone</x:v>
      </x:c>
      <x:c r="I41" t="str">
        <x:v>Antivirus blocked file</x:v>
      </x:c>
      <x:c r="J41" t="str">
        <x:v>Endpoint protection quarantined a file and the user wants to know whether it is safe. The user is remote and connected through home internet.</x:v>
      </x:c>
      <x:c r="K41" t="str">
        <x:v>Security</x:v>
      </x:c>
      <x:c r="L41" t="str">
        <x:v>Endpoint Security Block</x:v>
      </x:c>
      <x:c r="M41" t="str">
        <x:v>Small Team</x:v>
      </x:c>
      <x:c r="N41" t="str">
        <x:v>High</x:v>
      </x:c>
      <x:c r="O41" t="str">
        <x:v>P2</x:v>
      </x:c>
      <x:c r="P41" t="str">
        <x:v>Security Operations</x:v>
      </x:c>
      <x:c r="Q41" t="str">
        <x:v>Did the user click anything, enter credentials, or download a file?</x:v>
      </x:c>
      <x:c r="R41" t="str">
        <x:v>Determine whether credentials, clicks, or downloads occurred before deciding containment steps.</x:v>
      </x:c>
      <x:c r="S41" t="str">
        <x:v>Yes</x:v>
      </x:c>
      <x:c r="T41" t="str">
        <x:v>Resolved after service desk triage and routing to the correct support team.</x:v>
      </x:c>
    </x:row>
    <x:row r="42">
      <x:c r="A42" t="str">
        <x:v>HD-20260041</x:v>
      </x:c>
      <x:c r="B42" t="str">
        <x:v>2026-03-15 09:16</x:v>
      </x:c>
      <x:c r="C42" t="str">
        <x:v>Chat</x:v>
      </x:c>
      <x:c r="D42" t="str">
        <x:v>Director</x:v>
      </x:c>
      <x:c r="E42" t="str">
        <x:v>Customer Service</x:v>
      </x:c>
      <x:c r="F42" t="str">
        <x:v>Austin Branch</x:v>
      </x:c>
      <x:c r="G42" t="str">
        <x:v>Laptop</x:v>
      </x:c>
      <x:c r="H42" t="str">
        <x:v>Windows 10</x:v>
      </x:c>
      <x:c r="I42" t="str">
        <x:v>Application timeout during processing</x:v>
      </x:c>
      <x:c r="J42" t="str">
        <x:v>Long-running transaction ends in a timeout or session expiration. The problem started after a password change.</x:v>
      </x:c>
      <x:c r="K42" t="str">
        <x:v>Line of Business App</x:v>
      </x:c>
      <x:c r="L42" t="str">
        <x:v>Report Failure</x:v>
      </x:c>
      <x:c r="M42" t="str">
        <x:v>Department</x:v>
      </x:c>
      <x:c r="N42" t="str">
        <x:v>Medium</x:v>
      </x:c>
      <x:c r="O42" t="str">
        <x:v>P2</x:v>
      </x:c>
      <x:c r="P42" t="str">
        <x:v>Business Applications</x:v>
      </x:c>
      <x:c r="Q42" t="str">
        <x:v>Is there a business deadline or outage impact right now?</x:v>
      </x:c>
      <x:c r="R42" t="str">
        <x:v>Separate user-permission issues from application or database failures.</x:v>
      </x:c>
      <x:c r="S42" t="str">
        <x:v>Yes</x:v>
      </x:c>
      <x:c r="T42" t="str">
        <x:v>Resolved by correcting account or permission settings and validating access.</x:v>
      </x:c>
    </x:row>
    <x:row r="43">
      <x:c r="A43" t="str">
        <x:v>HD-20260042</x:v>
      </x:c>
      <x:c r="B43" t="str">
        <x:v>2026-02-13 13:50</x:v>
      </x:c>
      <x:c r="C43" t="str">
        <x:v>Email</x:v>
      </x:c>
      <x:c r="D43" t="str">
        <x:v>Associate</x:v>
      </x:c>
      <x:c r="E43" t="str">
        <x:v>Sales</x:v>
      </x:c>
      <x:c r="F43" t="str">
        <x:v>Fort Worth Store</x:v>
      </x:c>
      <x:c r="G43" t="str">
        <x:v>Laptop</x:v>
      </x:c>
      <x:c r="H43" t="str">
        <x:v>macOS</x:v>
      </x:c>
      <x:c r="I43" t="str">
        <x:v>Battery not charging</x:v>
      </x:c>
      <x:c r="J43" t="str">
        <x:v>Laptop powers on with the adapter connected but the battery percentage does not increase. The user has already rebooted once.</x:v>
      </x:c>
      <x:c r="K43" t="str">
        <x:v>Hardware</x:v>
      </x:c>
      <x:c r="L43" t="str">
        <x:v>Peripheral Failure</x:v>
      </x:c>
      <x:c r="M43" t="str">
        <x:v>Single User</x:v>
      </x:c>
      <x:c r="N43" t="str">
        <x:v>Medium</x:v>
      </x:c>
      <x:c r="O43" t="str">
        <x:v>P3</x:v>
      </x:c>
      <x:c r="P43" t="str">
        <x:v>Desktop Support</x:v>
      </x:c>
      <x:c r="Q43" t="str">
        <x:v>Did any hardware, cables, or desks change recently?</x:v>
      </x:c>
      <x:c r="R43" t="str">
        <x:v>Document the hardware model and any recent moves or equipment swaps.</x:v>
      </x:c>
      <x:c r="S43" t="str">
        <x:v>Yes</x:v>
      </x:c>
      <x:c r="T43" t="str">
        <x:v>Resolved by restoring expected connectivity or application functionality.</x:v>
      </x:c>
    </x:row>
    <x:row r="44">
      <x:c r="A44" t="str">
        <x:v>HD-20260043</x:v>
      </x:c>
      <x:c r="B44" t="str">
        <x:v>2026-02-05 08:44</x:v>
      </x:c>
      <x:c r="C44" t="str">
        <x:v>Portal</x:v>
      </x:c>
      <x:c r="D44" t="str">
        <x:v>Director</x:v>
      </x:c>
      <x:c r="E44" t="str">
        <x:v>IT</x:v>
      </x:c>
      <x:c r="F44" t="str">
        <x:v>Houston Branch</x:v>
      </x:c>
      <x:c r="G44" t="str">
        <x:v>Desktop</x:v>
      </x:c>
      <x:c r="H44" t="str">
        <x:v>Windows 10</x:v>
      </x:c>
      <x:c r="I44" t="str">
        <x:v>SharePoint site inaccessible</x:v>
      </x:c>
      <x:c r="J44" t="str">
        <x:v>User receives an access or loading error when trying to open a team site. The issue appears limited to one device.</x:v>
      </x:c>
      <x:c r="K44" t="str">
        <x:v>File/Share Access</x:v>
      </x:c>
      <x:c r="L44" t="str">
        <x:v>File Recovery</x:v>
      </x:c>
      <x:c r="M44" t="str">
        <x:v>Multiple Sites</x:v>
      </x:c>
      <x:c r="N44" t="str">
        <x:v>Medium</x:v>
      </x:c>
      <x:c r="O44" t="str">
        <x:v>P1</x:v>
      </x:c>
      <x:c r="P44" t="str">
        <x:v>Infrastructure</x:v>
      </x:c>
      <x:c r="Q44" t="str">
        <x:v>Does this affect one user, a team, or an entire department share?</x:v>
      </x:c>
      <x:c r="R44" t="str">
        <x:v>Clarify whether the issue is permissions, pathing, sync, or deletion before routing.</x:v>
      </x:c>
      <x:c r="S44" t="str">
        <x:v>Yes</x:v>
      </x:c>
      <x:c r="T44" t="str">
        <x:v>Issue resolved after standard troubleshooting and confirmation from user.</x:v>
      </x:c>
    </x:row>
    <x:row r="45">
      <x:c r="A45" t="str">
        <x:v>HD-20260044</x:v>
      </x:c>
      <x:c r="B45" t="str">
        <x:v>2026-03-12 04:33</x:v>
      </x:c>
      <x:c r="C45" t="str">
        <x:v>Chat</x:v>
      </x:c>
      <x:c r="D45" t="str">
        <x:v>Associate</x:v>
      </x:c>
      <x:c r="E45" t="str">
        <x:v>Marketing</x:v>
      </x:c>
      <x:c r="F45" t="str">
        <x:v>Plano Office</x:v>
      </x:c>
      <x:c r="G45" t="str">
        <x:v>Mobile</x:v>
      </x:c>
      <x:c r="H45" t="str">
        <x:v>Android</x:v>
      </x:c>
      <x:c r="I45" t="str">
        <x:v>Cannot send external email</x:v>
      </x:c>
      <x:c r="J45" t="str">
        <x:v>User can receive mail but outbound messages to external recipients are failing or stuck. The issue appears limited to one device.</x:v>
      </x:c>
      <x:c r="K45" t="str">
        <x:v>Email &amp; Collaboration</x:v>
      </x:c>
      <x:c r="L45" t="str">
        <x:v>Mailbox Access</x:v>
      </x:c>
      <x:c r="M45" t="str">
        <x:v>Single User</x:v>
      </x:c>
      <x:c r="N45" t="str">
        <x:v>Medium</x:v>
      </x:c>
      <x:c r="O45" t="str">
        <x:v>P3</x:v>
      </x:c>
      <x:c r="P45" t="str">
        <x:v>Messaging Team</x:v>
      </x:c>
      <x:c r="Q45" t="str">
        <x:v>Does this affect one mailbox or multiple users?</x:v>
      </x:c>
      <x:c r="R45" t="str">
        <x:v>Confirm whether the issue reproduces in the web client to isolate app versus service problems.</x:v>
      </x:c>
      <x:c r="S45" t="str">
        <x:v>Yes</x:v>
      </x:c>
      <x:c r="T45" t="str">
        <x:v>Issue resolved after standard troubleshooting and confirmation from user.</x:v>
      </x:c>
    </x:row>
    <x:row r="46">
      <x:c r="A46" t="str">
        <x:v>HD-20260045</x:v>
      </x:c>
      <x:c r="B46" t="str">
        <x:v>2026-03-01 18:55</x:v>
      </x:c>
      <x:c r="C46" t="str">
        <x:v>Chat</x:v>
      </x:c>
      <x:c r="D46" t="str">
        <x:v>Associate</x:v>
      </x:c>
      <x:c r="E46" t="str">
        <x:v>IT</x:v>
      </x:c>
      <x:c r="F46" t="str">
        <x:v>Remote - Texas</x:v>
      </x:c>
      <x:c r="G46" t="str">
        <x:v>Laptop</x:v>
      </x:c>
      <x:c r="H46" t="str">
        <x:v>macOS</x:v>
      </x:c>
      <x:c r="I46" t="str">
        <x:v>Shared mailbox missing</x:v>
      </x:c>
      <x:c r="J46" t="str">
        <x:v>A shared mailbox that was previously visible no longer appears in Outlook. The user states the issue was intermittent yesterday and is now constant.</x:v>
      </x:c>
      <x:c r="K46" t="str">
        <x:v>Email &amp; Collaboration</x:v>
      </x:c>
      <x:c r="L46" t="str">
        <x:v>Outlook Issue</x:v>
      </x:c>
      <x:c r="M46" t="str">
        <x:v>Single User</x:v>
      </x:c>
      <x:c r="N46" t="str">
        <x:v>High</x:v>
      </x:c>
      <x:c r="O46" t="str">
        <x:v>P2</x:v>
      </x:c>
      <x:c r="P46" t="str">
        <x:v>Messaging Team</x:v>
      </x:c>
      <x:c r="Q46" t="str">
        <x:v>When did it last work normally?</x:v>
      </x:c>
      <x:c r="R46" t="str">
        <x:v>Collect the exact send/receive error and whether internal mail flow still works.</x:v>
      </x:c>
      <x:c r="S46" t="str">
        <x:v>Yes</x:v>
      </x:c>
      <x:c r="T46" t="str">
        <x:v>Resolved after client-side remediation and user retest.</x:v>
      </x:c>
    </x:row>
    <x:row r="47">
      <x:c r="A47" t="str">
        <x:v>HD-20260046</x:v>
      </x:c>
      <x:c r="B47" t="str">
        <x:v>2026-03-01 01:43</x:v>
      </x:c>
      <x:c r="C47" t="str">
        <x:v>Email</x:v>
      </x:c>
      <x:c r="D47" t="str">
        <x:v>Manager</x:v>
      </x:c>
      <x:c r="E47" t="str">
        <x:v>Sales</x:v>
      </x:c>
      <x:c r="F47" t="str">
        <x:v>Dallas HQ</x:v>
      </x:c>
      <x:c r="G47" t="str">
        <x:v>Laptop</x:v>
      </x:c>
      <x:c r="H47" t="str">
        <x:v>Windows 11</x:v>
      </x:c>
      <x:c r="I47" t="str">
        <x:v>No network access on wired desktop</x:v>
      </x:c>
      <x:c r="J47" t="str">
        <x:v>Desktop shows connected to Ethernet but cannot reach intranet sites or mapped drives. The issue appears limited to one device.</x:v>
      </x:c>
      <x:c r="K47" t="str">
        <x:v>Network/VPN</x:v>
      </x:c>
      <x:c r="L47" t="str">
        <x:v>DNS/Name Resolution</x:v>
      </x:c>
      <x:c r="M47" t="str">
        <x:v>Single User</x:v>
      </x:c>
      <x:c r="N47" t="str">
        <x:v>Low</x:v>
      </x:c>
      <x:c r="O47" t="str">
        <x:v>P4</x:v>
      </x:c>
      <x:c r="P47" t="str">
        <x:v>Network Support</x:v>
      </x:c>
      <x:c r="Q47" t="str">
        <x:v>Can you reach the internet and internal resources separately, or neither?</x:v>
      </x:c>
      <x:c r="R47" t="str">
        <x:v>Confirm whether the issue affects one user or multiple users before escalating.</x:v>
      </x:c>
      <x:c r="S47" t="str">
        <x:v>No</x:v>
      </x:c>
      <x:c r="T47" t="str">
        <x:v>Awaiting user response with requested details or screenshots.</x:v>
      </x:c>
    </x:row>
    <x:row r="48">
      <x:c r="A48" t="str">
        <x:v>HD-20260047</x:v>
      </x:c>
      <x:c r="B48" t="str">
        <x:v>2026-02-25 13:27</x:v>
      </x:c>
      <x:c r="C48" t="str">
        <x:v>Portal</x:v>
      </x:c>
      <x:c r="D48" t="str">
        <x:v>Analyst</x:v>
      </x:c>
      <x:c r="E48" t="str">
        <x:v>Marketing</x:v>
      </x:c>
      <x:c r="F48" t="str">
        <x:v>Dallas HQ</x:v>
      </x:c>
      <x:c r="G48" t="str">
        <x:v>Mobile</x:v>
      </x:c>
      <x:c r="H48" t="str">
        <x:v>Windows 10</x:v>
      </x:c>
      <x:c r="I48" t="str">
        <x:v>Website blocked by security software</x:v>
      </x:c>
      <x:c r="J48" t="str">
        <x:v>Security software prevents access to a site the user believes is needed for work. No recent hardware changes were reported.</x:v>
      </x:c>
      <x:c r="K48" t="str">
        <x:v>Security</x:v>
      </x:c>
      <x:c r="L48" t="str">
        <x:v>Endpoint Security Block</x:v>
      </x:c>
      <x:c r="M48" t="str">
        <x:v>Single User</x:v>
      </x:c>
      <x:c r="N48" t="str">
        <x:v>High</x:v>
      </x:c>
      <x:c r="O48" t="str">
        <x:v>P2</x:v>
      </x:c>
      <x:c r="P48" t="str">
        <x:v>Security Operations</x:v>
      </x:c>
      <x:c r="Q48" t="str">
        <x:v>Is there any business deadline that depends on rapid review?</x:v>
      </x:c>
      <x:c r="R48" t="str">
        <x:v>Capture sender, URL, filename, or alert name exactly as shown.</x:v>
      </x:c>
      <x:c r="S48" t="str">
        <x:v>No</x:v>
      </x:c>
      <x:c r="T48" t="str">
        <x:v>Escalated to owning team for deeper investigation.</x:v>
      </x:c>
    </x:row>
    <x:row r="49">
      <x:c r="A49" t="str">
        <x:v>HD-20260048</x:v>
      </x:c>
      <x:c r="B49" t="str">
        <x:v>2026-02-10 04:28</x:v>
      </x:c>
      <x:c r="C49" t="str">
        <x:v>Email</x:v>
      </x:c>
      <x:c r="D49" t="str">
        <x:v>Director</x:v>
      </x:c>
      <x:c r="E49" t="str">
        <x:v>IT</x:v>
      </x:c>
      <x:c r="F49" t="str">
        <x:v>Plano Office</x:v>
      </x:c>
      <x:c r="G49" t="str">
        <x:v>Laptop</x:v>
      </x:c>
      <x:c r="H49" t="str">
        <x:v>Windows 11</x:v>
      </x:c>
      <x:c r="I49" t="str">
        <x:v>Application closes on launch</x:v>
      </x:c>
      <x:c r="J49" t="str">
        <x:v>User states that a business application opens briefly and then crashes every time. The problem started after a password change.</x:v>
      </x:c>
      <x:c r="K49" t="str">
        <x:v>Software</x:v>
      </x:c>
      <x:c r="L49" t="str">
        <x:v>Install Request</x:v>
      </x:c>
      <x:c r="M49" t="str">
        <x:v>Single User</x:v>
      </x:c>
      <x:c r="N49" t="str">
        <x:v>Low</x:v>
      </x:c>
      <x:c r="O49" t="str">
        <x:v>P4</x:v>
      </x:c>
      <x:c r="P49" t="str">
        <x:v>Desktop Support</x:v>
      </x:c>
      <x:c r="Q49" t="str">
        <x:v>Is the software request already approved by the manager or application owner?</x:v>
      </x:c>
      <x:c r="R49" t="str">
        <x:v>Verify software approval and licensing requirements for install requests.</x:v>
      </x:c>
      <x:c r="S49" t="str">
        <x:v>No</x:v>
      </x:c>
      <x:c r="T49" t="str">
        <x:v>Open pending approval, access change, or replacement hardware.</x:v>
      </x:c>
    </x:row>
    <x:row r="50">
      <x:c r="A50" t="str">
        <x:v>HD-20260049</x:v>
      </x:c>
      <x:c r="B50" t="str">
        <x:v>2026-01-19 01:58</x:v>
      </x:c>
      <x:c r="C50" t="str">
        <x:v>Email</x:v>
      </x:c>
      <x:c r="D50" t="str">
        <x:v>Specialist</x:v>
      </x:c>
      <x:c r="E50" t="str">
        <x:v>Marketing</x:v>
      </x:c>
      <x:c r="F50" t="str">
        <x:v>Plano Office</x:v>
      </x:c>
      <x:c r="G50" t="str">
        <x:v>Laptop</x:v>
      </x:c>
      <x:c r="H50" t="str">
        <x:v>Windows 10</x:v>
      </x:c>
      <x:c r="I50" t="str">
        <x:v>Keyboard or mouse stopped working</x:v>
      </x:c>
      <x:c r="J50" t="str">
        <x:v>Peripheral worked earlier but is now intermittently disconnecting or completely unresponsive. The behavior is affecting normal job duties.</x:v>
      </x:c>
      <x:c r="K50" t="str">
        <x:v>Hardware</x:v>
      </x:c>
      <x:c r="L50" t="str">
        <x:v>Battery/Power</x:v>
      </x:c>
      <x:c r="M50" t="str">
        <x:v>Single User</x:v>
      </x:c>
      <x:c r="N50" t="str">
        <x:v>Low</x:v>
      </x:c>
      <x:c r="O50" t="str">
        <x:v>P4</x:v>
      </x:c>
      <x:c r="P50" t="str">
        <x:v>Desktop Support</x:v>
      </x:c>
      <x:c r="Q50" t="str">
        <x:v>Is the issue happening with one accessory or multiple devices connected to the workstation?</x:v>
      </x:c>
      <x:c r="R50" t="str">
        <x:v>Confirm power, cable, and dock connections before moving to replacement or escalation.</x:v>
      </x:c>
      <x:c r="S50" t="str">
        <x:v>Yes</x:v>
      </x:c>
      <x:c r="T50" t="str">
        <x:v>Resolved by restoring expected connectivity or application functionality.</x:v>
      </x:c>
    </x:row>
    <x:row r="51">
      <x:c r="A51" t="str">
        <x:v>HD-20260050</x:v>
      </x:c>
      <x:c r="B51" t="str">
        <x:v>2026-02-21 09:31</x:v>
      </x:c>
      <x:c r="C51" t="str">
        <x:v>Portal</x:v>
      </x:c>
      <x:c r="D51" t="str">
        <x:v>Associate</x:v>
      </x:c>
      <x:c r="E51" t="str">
        <x:v>IT</x:v>
      </x:c>
      <x:c r="F51" t="str">
        <x:v>Plano Office</x:v>
      </x:c>
      <x:c r="G51" t="str">
        <x:v>Desktop</x:v>
      </x:c>
      <x:c r="H51" t="str">
        <x:v>macOS</x:v>
      </x:c>
      <x:c r="I51" t="str">
        <x:v>Department share no longer available</x:v>
      </x:c>
      <x:c r="J51" t="str">
        <x:v>User says a shared folder used daily is no longer mapped or cannot be opened. The problem started after a password change.</x:v>
      </x:c>
      <x:c r="K51" t="str">
        <x:v>File/Share Access</x:v>
      </x:c>
      <x:c r="L51" t="str">
        <x:v>SharePoint/OneDrive</x:v>
      </x:c>
      <x:c r="M51" t="str">
        <x:v>Single User</x:v>
      </x:c>
      <x:c r="N51" t="str">
        <x:v>Low</x:v>
      </x:c>
      <x:c r="O51" t="str">
        <x:v>P4</x:v>
      </x:c>
      <x:c r="P51" t="str">
        <x:v>Infrastructure</x:v>
      </x:c>
      <x:c r="Q51" t="str">
        <x:v>Is the file missing, inaccessible, or simply not syncing?</x:v>
      </x:c>
      <x:c r="R51" t="str">
        <x:v>Identify whether the issue affects only one user or multiple people.</x:v>
      </x:c>
      <x:c r="S51" t="str">
        <x:v>Yes</x:v>
      </x:c>
      <x:c r="T51" t="str">
        <x:v>Issue resolved after standard troubleshooting and confirmation from user.</x:v>
      </x:c>
    </x:row>
    <x:row r="52">
      <x:c r="A52" t="str">
        <x:v>HD-20260051</x:v>
      </x:c>
      <x:c r="B52" t="str">
        <x:v>2026-03-12 10:48</x:v>
      </x:c>
      <x:c r="C52" t="str">
        <x:v>Portal</x:v>
      </x:c>
      <x:c r="D52" t="str">
        <x:v>Coordinator</x:v>
      </x:c>
      <x:c r="E52" t="str">
        <x:v>HR</x:v>
      </x:c>
      <x:c r="F52" t="str">
        <x:v>Fort Worth Store</x:v>
      </x:c>
      <x:c r="G52" t="str">
        <x:v>Laptop</x:v>
      </x:c>
      <x:c r="H52" t="str">
        <x:v>macOS</x:v>
      </x:c>
      <x:c r="I52" t="str">
        <x:v>Webcam not recognized</x:v>
      </x:c>
      <x:c r="J52" t="str">
        <x:v>Video conferencing apps cannot detect the built-in or external camera. Another coworker reported a similar symptom.</x:v>
      </x:c>
      <x:c r="K52" t="str">
        <x:v>Hardware</x:v>
      </x:c>
      <x:c r="L52" t="str">
        <x:v>Battery/Power</x:v>
      </x:c>
      <x:c r="M52" t="str">
        <x:v>Department</x:v>
      </x:c>
      <x:c r="N52" t="str">
        <x:v>Medium</x:v>
      </x:c>
      <x:c r="O52" t="str">
        <x:v>P2</x:v>
      </x:c>
      <x:c r="P52" t="str">
        <x:v>Desktop Support</x:v>
      </x:c>
      <x:c r="Q52" t="str">
        <x:v>Did any hardware, cables, or desks change recently?</x:v>
      </x:c>
      <x:c r="R52" t="str">
        <x:v>Determine whether the issue is isolated to one device, one dock, or one user profile.</x:v>
      </x:c>
      <x:c r="S52" t="str">
        <x:v>No</x:v>
      </x:c>
      <x:c r="T52" t="str">
        <x:v>Open pending approval, access change, or replacement hardware.</x:v>
      </x:c>
    </x:row>
    <x:row r="53">
      <x:c r="A53" t="str">
        <x:v>HD-20260052</x:v>
      </x:c>
      <x:c r="B53" t="str">
        <x:v>2026-01-20 01:21</x:v>
      </x:c>
      <x:c r="C53" t="str">
        <x:v>Portal</x:v>
      </x:c>
      <x:c r="D53" t="str">
        <x:v>Supervisor</x:v>
      </x:c>
      <x:c r="E53" t="str">
        <x:v>Executive</x:v>
      </x:c>
      <x:c r="F53" t="str">
        <x:v>Austin Branch</x:v>
      </x:c>
      <x:c r="G53" t="str">
        <x:v>Desktop</x:v>
      </x:c>
      <x:c r="H53" t="str">
        <x:v>iPhone</x:v>
      </x:c>
      <x:c r="I53" t="str">
        <x:v>Access denied to application</x:v>
      </x:c>
      <x:c r="J53" t="str">
        <x:v>User can sign in but does not have permission to view the requested application or folder. The user has already rebooted once.</x:v>
      </x:c>
      <x:c r="K53" t="str">
        <x:v>Identity &amp; Access</x:v>
      </x:c>
      <x:c r="L53" t="str">
        <x:v>MFA Issue</x:v>
      </x:c>
      <x:c r="M53" t="str">
        <x:v>Single User</x:v>
      </x:c>
      <x:c r="N53" t="str">
        <x:v>Low</x:v>
      </x:c>
      <x:c r="O53" t="str">
        <x:v>P4</x:v>
      </x:c>
      <x:c r="P53" t="str">
        <x:v>Service Desk</x:v>
      </x:c>
      <x:c r="Q53" t="str">
        <x:v>What system or folder are you trying to access, and is this new access or existing access that stopped working?</x:v>
      </x:c>
      <x:c r="R53" t="str">
        <x:v>Confirm whether the user recently changed credentials or devices before resetting anything.</x:v>
      </x:c>
      <x:c r="S53" t="str">
        <x:v>Yes</x:v>
      </x:c>
      <x:c r="T53" t="str">
        <x:v>Issue resolved after standard troubleshooting and confirmation from user.</x:v>
      </x:c>
    </x:row>
    <x:row r="54">
      <x:c r="A54" t="str">
        <x:v>HD-20260053</x:v>
      </x:c>
      <x:c r="B54" t="str">
        <x:v>2026-03-21 12:34</x:v>
      </x:c>
      <x:c r="C54" t="str">
        <x:v>Email</x:v>
      </x:c>
      <x:c r="D54" t="str">
        <x:v>Coordinator</x:v>
      </x:c>
      <x:c r="E54" t="str">
        <x:v>IT</x:v>
      </x:c>
      <x:c r="F54" t="str">
        <x:v>Austin Branch</x:v>
      </x:c>
      <x:c r="G54" t="str">
        <x:v>Desktop</x:v>
      </x:c>
      <x:c r="H54" t="str">
        <x:v>macOS</x:v>
      </x:c>
      <x:c r="I54" t="str">
        <x:v>License expired warning</x:v>
      </x:c>
      <x:c r="J54" t="str">
        <x:v>Application starts but displays a licensing or activation error that prevents use. The issue began this morning.</x:v>
      </x:c>
      <x:c r="K54" t="str">
        <x:v>Software</x:v>
      </x:c>
      <x:c r="L54" t="str">
        <x:v>Application Crash</x:v>
      </x:c>
      <x:c r="M54" t="str">
        <x:v>Department</x:v>
      </x:c>
      <x:c r="N54" t="str">
        <x:v>Low</x:v>
      </x:c>
      <x:c r="O54" t="str">
        <x:v>P2</x:v>
      </x:c>
      <x:c r="P54" t="str">
        <x:v>Desktop Support</x:v>
      </x:c>
      <x:c r="Q54" t="str">
        <x:v>Does the issue affect one machine or multiple users?</x:v>
      </x:c>
      <x:c r="R54" t="str">
        <x:v>Collect screenshots or error text before reinstalling or clearing caches.</x:v>
      </x:c>
      <x:c r="S54" t="str">
        <x:v>No</x:v>
      </x:c>
      <x:c r="T54" t="str">
        <x:v>Open pending approval, access change, or replacement hardware.</x:v>
      </x:c>
    </x:row>
    <x:row r="55">
      <x:c r="A55" t="str">
        <x:v>HD-20260054</x:v>
      </x:c>
      <x:c r="B55" t="str">
        <x:v>2026-01-16 16:01</x:v>
      </x:c>
      <x:c r="C55" t="str">
        <x:v>Email</x:v>
      </x:c>
      <x:c r="D55" t="str">
        <x:v>Supervisor</x:v>
      </x:c>
      <x:c r="E55" t="str">
        <x:v>Operations</x:v>
      </x:c>
      <x:c r="F55" t="str">
        <x:v>Austin Branch</x:v>
      </x:c>
      <x:c r="G55" t="str">
        <x:v>Laptop</x:v>
      </x:c>
      <x:c r="H55" t="str">
        <x:v>Windows 10</x:v>
      </x:c>
      <x:c r="I55" t="str">
        <x:v>Keyboard or mouse stopped working</x:v>
      </x:c>
      <x:c r="J55" t="str">
        <x:v>Peripheral worked earlier but is now intermittently disconnecting or completely unresponsive. The problem started after a password change.</x:v>
      </x:c>
      <x:c r="K55" t="str">
        <x:v>Hardware</x:v>
      </x:c>
      <x:c r="L55" t="str">
        <x:v>Battery/Power</x:v>
      </x:c>
      <x:c r="M55" t="str">
        <x:v>Single User</x:v>
      </x:c>
      <x:c r="N55" t="str">
        <x:v>Medium</x:v>
      </x:c>
      <x:c r="O55" t="str">
        <x:v>P3</x:v>
      </x:c>
      <x:c r="P55" t="str">
        <x:v>Desktop Support</x:v>
      </x:c>
      <x:c r="Q55" t="str">
        <x:v>Is this preventing work entirely or only reducing convenience?</x:v>
      </x:c>
      <x:c r="R55" t="str">
        <x:v>Confirm power, cable, and dock connections before moving to replacement or escalation.</x:v>
      </x:c>
      <x:c r="S55" t="str">
        <x:v>Yes</x:v>
      </x:c>
      <x:c r="T55" t="str">
        <x:v>Resolved by correcting account or permission settings and validating access.</x:v>
      </x:c>
    </x:row>
    <x:row r="56">
      <x:c r="A56" t="str">
        <x:v>HD-20260055</x:v>
      </x:c>
      <x:c r="B56" t="str">
        <x:v>2026-02-10 18:53</x:v>
      </x:c>
      <x:c r="C56" t="str">
        <x:v>Email</x:v>
      </x:c>
      <x:c r="D56" t="str">
        <x:v>Coordinator</x:v>
      </x:c>
      <x:c r="E56" t="str">
        <x:v>IT</x:v>
      </x:c>
      <x:c r="F56" t="str">
        <x:v>Remote - Texas</x:v>
      </x:c>
      <x:c r="G56" t="str">
        <x:v>Desktop</x:v>
      </x:c>
      <x:c r="H56" t="str">
        <x:v>macOS</x:v>
      </x:c>
      <x:c r="I56" t="str">
        <x:v>Department share no longer available</x:v>
      </x:c>
      <x:c r="J56" t="str">
        <x:v>User says a shared folder used daily is no longer mapped or cannot be opened. The issue appears limited to one device.</x:v>
      </x:c>
      <x:c r="K56" t="str">
        <x:v>File/Share Access</x:v>
      </x:c>
      <x:c r="L56" t="str">
        <x:v>Permission Denied</x:v>
      </x:c>
      <x:c r="M56" t="str">
        <x:v>Single User</x:v>
      </x:c>
      <x:c r="N56" t="str">
        <x:v>Medium</x:v>
      </x:c>
      <x:c r="O56" t="str">
        <x:v>P3</x:v>
      </x:c>
      <x:c r="P56" t="str">
        <x:v>Infrastructure</x:v>
      </x:c>
      <x:c r="Q56" t="str">
        <x:v>Do you know the exact path, site, or file name involved?</x:v>
      </x:c>
      <x:c r="R56" t="str">
        <x:v>Clarify whether the issue is permissions, pathing, sync, or deletion before routing.</x:v>
      </x:c>
      <x:c r="S56" t="str">
        <x:v>Yes</x:v>
      </x:c>
      <x:c r="T56" t="str">
        <x:v>Resolved by restoring expected connectivity or application functionality.</x:v>
      </x:c>
    </x:row>
    <x:row r="57">
      <x:c r="A57" t="str">
        <x:v>HD-20260056</x:v>
      </x:c>
      <x:c r="B57" t="str">
        <x:v>2026-03-17 08:00</x:v>
      </x:c>
      <x:c r="C57" t="str">
        <x:v>Email</x:v>
      </x:c>
      <x:c r="D57" t="str">
        <x:v>Supervisor</x:v>
      </x:c>
      <x:c r="E57" t="str">
        <x:v>Marketing</x:v>
      </x:c>
      <x:c r="F57" t="str">
        <x:v>Houston Branch</x:v>
      </x:c>
      <x:c r="G57" t="str">
        <x:v>Desktop</x:v>
      </x:c>
      <x:c r="H57" t="str">
        <x:v>iPhone</x:v>
      </x:c>
      <x:c r="I57" t="str">
        <x:v>Outlook keeps asking for password</x:v>
      </x:c>
      <x:c r="J57" t="str">
        <x:v>Outlook opens but repeatedly prompts for credentials and does not stay connected. Another coworker reported a similar symptom.</x:v>
      </x:c>
      <x:c r="K57" t="str">
        <x:v>Email &amp; Collaboration</x:v>
      </x:c>
      <x:c r="L57" t="str">
        <x:v>Calendar Problem</x:v>
      </x:c>
      <x:c r="M57" t="str">
        <x:v>Department</x:v>
      </x:c>
      <x:c r="N57" t="str">
        <x:v>Medium</x:v>
      </x:c>
      <x:c r="O57" t="str">
        <x:v>P2</x:v>
      </x:c>
      <x:c r="P57" t="str">
        <x:v>Messaging Team</x:v>
      </x:c>
      <x:c r="Q57" t="str">
        <x:v>When did it last work normally?</x:v>
      </x:c>
      <x:c r="R57" t="str">
        <x:v>Verify whether the mailbox or calendar access was recently changed.</x:v>
      </x:c>
      <x:c r="S57" t="str">
        <x:v>Yes</x:v>
      </x:c>
      <x:c r="T57" t="str">
        <x:v>Resolved by correcting account or permission settings and validating access.</x:v>
      </x:c>
    </x:row>
    <x:row r="58">
      <x:c r="A58" t="str">
        <x:v>HD-20260057</x:v>
      </x:c>
      <x:c r="B58" t="str">
        <x:v>2026-01-22 10:44</x:v>
      </x:c>
      <x:c r="C58" t="str">
        <x:v>Portal</x:v>
      </x:c>
      <x:c r="D58" t="str">
        <x:v>Analyst</x:v>
      </x:c>
      <x:c r="E58" t="str">
        <x:v>Operations</x:v>
      </x:c>
      <x:c r="F58" t="str">
        <x:v>Plano Office</x:v>
      </x:c>
      <x:c r="G58" t="str">
        <x:v>Laptop</x:v>
      </x:c>
      <x:c r="H58" t="str">
        <x:v>Windows 10</x:v>
      </x:c>
      <x:c r="I58" t="str">
        <x:v>Authenticator app issue on phone</x:v>
      </x:c>
      <x:c r="J58" t="str">
        <x:v>User changed phones or restored a device and cannot complete sign-in. A screenshot is available in the ticket.</x:v>
      </x:c>
      <x:c r="K58" t="str">
        <x:v>Mobile/Remote</x:v>
      </x:c>
      <x:c r="L58" t="str">
        <x:v>Remote Desktop</x:v>
      </x:c>
      <x:c r="M58" t="str">
        <x:v>Single User</x:v>
      </x:c>
      <x:c r="N58" t="str">
        <x:v>Low</x:v>
      </x:c>
      <x:c r="O58" t="str">
        <x:v>P4</x:v>
      </x:c>
      <x:c r="P58" t="str">
        <x:v>Mobility Team</x:v>
      </x:c>
      <x:c r="Q58" t="str">
        <x:v>Is the problem limited to mobile access, or does the same account fail on desktop too?</x:v>
      </x:c>
      <x:c r="R58" t="str">
        <x:v>Verify whether the issue is device enrollment, connectivity, or account-related.</x:v>
      </x:c>
      <x:c r="S58" t="str">
        <x:v>No</x:v>
      </x:c>
      <x:c r="T58" t="str">
        <x:v>Open pending approval, access change, or replacement hardware.</x:v>
      </x:c>
    </x:row>
    <x:row r="59">
      <x:c r="A59" t="str">
        <x:v>HD-20260058</x:v>
      </x:c>
      <x:c r="B59" t="str">
        <x:v>2026-01-14 21:55</x:v>
      </x:c>
      <x:c r="C59" t="str">
        <x:v>Portal</x:v>
      </x:c>
      <x:c r="D59" t="str">
        <x:v>Associate</x:v>
      </x:c>
      <x:c r="E59" t="str">
        <x:v>IT</x:v>
      </x:c>
      <x:c r="F59" t="str">
        <x:v>Houston Branch</x:v>
      </x:c>
      <x:c r="G59" t="str">
        <x:v>Laptop</x:v>
      </x:c>
      <x:c r="H59" t="str">
        <x:v>macOS</x:v>
      </x:c>
      <x:c r="I59" t="str">
        <x:v>Teams audio not working</x:v>
      </x:c>
      <x:c r="J59" t="str">
        <x:v>User can join meetings but cannot hear audio or the microphone is not detected properly. The problem started after a password change.</x:v>
      </x:c>
      <x:c r="K59" t="str">
        <x:v>Email &amp; Collaboration</x:v>
      </x:c>
      <x:c r="L59" t="str">
        <x:v>Outlook Issue</x:v>
      </x:c>
      <x:c r="M59" t="str">
        <x:v>Multiple Sites</x:v>
      </x:c>
      <x:c r="N59" t="str">
        <x:v>Low</x:v>
      </x:c>
      <x:c r="O59" t="str">
        <x:v>P2</x:v>
      </x:c>
      <x:c r="P59" t="str">
        <x:v>Messaging Team</x:v>
      </x:c>
      <x:c r="Q59" t="str">
        <x:v>Does this affect one mailbox or multiple users?</x:v>
      </x:c>
      <x:c r="R59" t="str">
        <x:v>Confirm whether the issue reproduces in the web client to isolate app versus service problems.</x:v>
      </x:c>
      <x:c r="S59" t="str">
        <x:v>Yes</x:v>
      </x:c>
      <x:c r="T59" t="str">
        <x:v>Resolved by correcting account or permission settings and validating access.</x:v>
      </x:c>
    </x:row>
    <x:row r="60">
      <x:c r="A60" t="str">
        <x:v>HD-20260059</x:v>
      </x:c>
      <x:c r="B60" t="str">
        <x:v>2026-03-04 21:54</x:v>
      </x:c>
      <x:c r="C60" t="str">
        <x:v>Chat</x:v>
      </x:c>
      <x:c r="D60" t="str">
        <x:v>Coordinator</x:v>
      </x:c>
      <x:c r="E60" t="str">
        <x:v>Warehouse</x:v>
      </x:c>
      <x:c r="F60" t="str">
        <x:v>Remote - Texas</x:v>
      </x:c>
      <x:c r="G60" t="str">
        <x:v>Desktop</x:v>
      </x:c>
      <x:c r="H60" t="str">
        <x:v>macOS</x:v>
      </x:c>
      <x:c r="I60" t="str">
        <x:v>OneDrive not syncing</x:v>
      </x:c>
      <x:c r="J60" t="str">
        <x:v>Files updated on one device are not appearing on another and sync shows errors. The user is remote and connected through home internet.</x:v>
      </x:c>
      <x:c r="K60" t="str">
        <x:v>File/Share Access</x:v>
      </x:c>
      <x:c r="L60" t="str">
        <x:v>File Sync Issue</x:v>
      </x:c>
      <x:c r="M60" t="str">
        <x:v>Single User</x:v>
      </x:c>
      <x:c r="N60" t="str">
        <x:v>Low</x:v>
      </x:c>
      <x:c r="O60" t="str">
        <x:v>P4</x:v>
      </x:c>
      <x:c r="P60" t="str">
        <x:v>Infrastructure</x:v>
      </x:c>
      <x:c r="Q60" t="str">
        <x:v>Do you know the exact path, site, or file name involved?</x:v>
      </x:c>
      <x:c r="R60" t="str">
        <x:v>Identify whether the issue affects only one user or multiple people.</x:v>
      </x:c>
      <x:c r="S60" t="str">
        <x:v>No</x:v>
      </x:c>
      <x:c r="T60" t="str">
        <x:v>Awaiting user response with requested details or screenshots.</x:v>
      </x:c>
    </x:row>
    <x:row r="61">
      <x:c r="A61" t="str">
        <x:v>HD-20260060</x:v>
      </x:c>
      <x:c r="B61" t="str">
        <x:v>2026-03-01 09:45</x:v>
      </x:c>
      <x:c r="C61" t="str">
        <x:v>Email</x:v>
      </x:c>
      <x:c r="D61" t="str">
        <x:v>Coordinator</x:v>
      </x:c>
      <x:c r="E61" t="str">
        <x:v>Finance</x:v>
      </x:c>
      <x:c r="F61" t="str">
        <x:v>Dallas HQ</x:v>
      </x:c>
      <x:c r="G61" t="str">
        <x:v>Laptop</x:v>
      </x:c>
      <x:c r="H61" t="str">
        <x:v>Windows 11</x:v>
      </x:c>
      <x:c r="I61" t="str">
        <x:v>MFA code not arriving</x:v>
      </x:c>
      <x:c r="J61" t="str">
        <x:v>User is not receiving push notifications or codes required to complete sign-in. The behavior is affecting normal job duties.</x:v>
      </x:c>
      <x:c r="K61" t="str">
        <x:v>Identity &amp; Access</x:v>
      </x:c>
      <x:c r="L61" t="str">
        <x:v>MFA Issue</x:v>
      </x:c>
      <x:c r="M61" t="str">
        <x:v>Single User</x:v>
      </x:c>
      <x:c r="N61" t="str">
        <x:v>Low</x:v>
      </x:c>
      <x:c r="O61" t="str">
        <x:v>P4</x:v>
      </x:c>
      <x:c r="P61" t="str">
        <x:v>Service Desk</x:v>
      </x:c>
      <x:c r="Q61" t="str">
        <x:v>Did you change phones, numbers, or authenticators recently?</x:v>
      </x:c>
      <x:c r="R61" t="str">
        <x:v>Verify identity, confirm scope of the failure, then check account status and MFA registration.</x:v>
      </x:c>
      <x:c r="S61" t="str">
        <x:v>Yes</x:v>
      </x:c>
      <x:c r="T61" t="str">
        <x:v>Issue resolved after standard troubleshooting and confirmation from user.</x:v>
      </x:c>
    </x:row>
    <x:row r="62">
      <x:c r="A62" t="str">
        <x:v>HD-20260061</x:v>
      </x:c>
      <x:c r="B62" t="str">
        <x:v>2026-01-20 20:11</x:v>
      </x:c>
      <x:c r="C62" t="str">
        <x:v>Chat</x:v>
      </x:c>
      <x:c r="D62" t="str">
        <x:v>Analyst</x:v>
      </x:c>
      <x:c r="E62" t="str">
        <x:v>Finance</x:v>
      </x:c>
      <x:c r="F62" t="str">
        <x:v>Fort Worth Store</x:v>
      </x:c>
      <x:c r="G62" t="str">
        <x:v>Laptop</x:v>
      </x:c>
      <x:c r="H62" t="str">
        <x:v>Windows 11</x:v>
      </x:c>
      <x:c r="I62" t="str">
        <x:v>Wrong printer driver behavior</x:v>
      </x:c>
      <x:c r="J62" t="str">
        <x:v>Output formatting is broken or the job hangs after a printer replacement. The user states the issue was intermittent yesterday and is now constant.</x:v>
      </x:c>
      <x:c r="K62" t="str">
        <x:v>Printing</x:v>
      </x:c>
      <x:c r="L62" t="str">
        <x:v>Scan to Email</x:v>
      </x:c>
      <x:c r="M62" t="str">
        <x:v>Single User</x:v>
      </x:c>
      <x:c r="N62" t="str">
        <x:v>Medium</x:v>
      </x:c>
      <x:c r="O62" t="str">
        <x:v>P3</x:v>
      </x:c>
      <x:c r="P62" t="str">
        <x:v>Field Support</x:v>
      </x:c>
      <x:c r="Q62" t="str">
        <x:v>Did the printer or driver recently change?</x:v>
      </x:c>
      <x:c r="R62" t="str">
        <x:v>Confirm the exact printer name and model before reinstalling drivers.</x:v>
      </x:c>
      <x:c r="S62" t="str">
        <x:v>Yes</x:v>
      </x:c>
      <x:c r="T62" t="str">
        <x:v>Resolved by restoring expected connectivity or application functionality.</x:v>
      </x:c>
    </x:row>
    <x:row r="63">
      <x:c r="A63" t="str">
        <x:v>HD-20260062</x:v>
      </x:c>
      <x:c r="B63" t="str">
        <x:v>2026-02-15 00:57</x:v>
      </x:c>
      <x:c r="C63" t="str">
        <x:v>Portal</x:v>
      </x:c>
      <x:c r="D63" t="str">
        <x:v>Supervisor</x:v>
      </x:c>
      <x:c r="E63" t="str">
        <x:v>Marketing</x:v>
      </x:c>
      <x:c r="F63" t="str">
        <x:v>Plano Office</x:v>
      </x:c>
      <x:c r="G63" t="str">
        <x:v>Desktop</x:v>
      </x:c>
      <x:c r="H63" t="str">
        <x:v>Windows 10</x:v>
      </x:c>
      <x:c r="I63" t="str">
        <x:v>Battery not charging</x:v>
      </x:c>
      <x:c r="J63" t="str">
        <x:v>Laptop powers on with the adapter connected but the battery percentage does not increase. A screenshot is available in the ticket.</x:v>
      </x:c>
      <x:c r="K63" t="str">
        <x:v>Hardware</x:v>
      </x:c>
      <x:c r="L63" t="str">
        <x:v>Monitor Issue</x:v>
      </x:c>
      <x:c r="M63" t="str">
        <x:v>Small Team</x:v>
      </x:c>
      <x:c r="N63" t="str">
        <x:v>High</x:v>
      </x:c>
      <x:c r="O63" t="str">
        <x:v>P2</x:v>
      </x:c>
      <x:c r="P63" t="str">
        <x:v>Desktop Support</x:v>
      </x:c>
      <x:c r="Q63" t="str">
        <x:v>Is the issue happening with one accessory or multiple devices connected to the workstation?</x:v>
      </x:c>
      <x:c r="R63" t="str">
        <x:v>Determine whether the issue is isolated to one device, one dock, or one user profile.</x:v>
      </x:c>
      <x:c r="S63" t="str">
        <x:v>No</x:v>
      </x:c>
      <x:c r="T63" t="str">
        <x:v>Pending vendor, infrastructure, or application team review.</x:v>
      </x:c>
    </x:row>
    <x:row r="64">
      <x:c r="A64" t="str">
        <x:v>HD-20260063</x:v>
      </x:c>
      <x:c r="B64" t="str">
        <x:v>2026-02-07 21:36</x:v>
      </x:c>
      <x:c r="C64" t="str">
        <x:v>Email</x:v>
      </x:c>
      <x:c r="D64" t="str">
        <x:v>Analyst</x:v>
      </x:c>
      <x:c r="E64" t="str">
        <x:v>Customer Service</x:v>
      </x:c>
      <x:c r="F64" t="str">
        <x:v>Dallas HQ</x:v>
      </x:c>
      <x:c r="G64" t="str">
        <x:v>Laptop</x:v>
      </x:c>
      <x:c r="H64" t="str">
        <x:v>Windows 10</x:v>
      </x:c>
      <x:c r="I64" t="str">
        <x:v>Update keeps failing</x:v>
      </x:c>
      <x:c r="J64" t="str">
        <x:v>User is prompted to update an application but the update process fails repeatedly. The behavior is affecting normal job duties.</x:v>
      </x:c>
      <x:c r="K64" t="str">
        <x:v>Software</x:v>
      </x:c>
      <x:c r="L64" t="str">
        <x:v>License Issue</x:v>
      </x:c>
      <x:c r="M64" t="str">
        <x:v>Department</x:v>
      </x:c>
      <x:c r="N64" t="str">
        <x:v>Low</x:v>
      </x:c>
      <x:c r="O64" t="str">
        <x:v>P2</x:v>
      </x:c>
      <x:c r="P64" t="str">
        <x:v>Desktop Support</x:v>
      </x:c>
      <x:c r="Q64" t="str">
        <x:v>Does the issue affect one machine or multiple users?</x:v>
      </x:c>
      <x:c r="R64" t="str">
        <x:v>Collect screenshots or error text before reinstalling or clearing caches.</x:v>
      </x:c>
      <x:c r="S64" t="str">
        <x:v>No</x:v>
      </x:c>
      <x:c r="T64" t="str">
        <x:v>Open pending approval, access change, or replacement hardware.</x:v>
      </x:c>
    </x:row>
    <x:row r="65">
      <x:c r="A65" t="str">
        <x:v>HD-20260064</x:v>
      </x:c>
      <x:c r="B65" t="str">
        <x:v>2026-03-15 18:22</x:v>
      </x:c>
      <x:c r="C65" t="str">
        <x:v>Email</x:v>
      </x:c>
      <x:c r="D65" t="str">
        <x:v>Supervisor</x:v>
      </x:c>
      <x:c r="E65" t="str">
        <x:v>Operations</x:v>
      </x:c>
      <x:c r="F65" t="str">
        <x:v>Houston Branch</x:v>
      </x:c>
      <x:c r="G65" t="str">
        <x:v>Desktop</x:v>
      </x:c>
      <x:c r="H65" t="str">
        <x:v>Windows 10</x:v>
      </x:c>
      <x:c r="I65" t="str">
        <x:v>Internal host names not resolving</x:v>
      </x:c>
      <x:c r="J65" t="str">
        <x:v>User can browse the public internet but cannot resolve internal server names while on the network. The problem started after a password change.</x:v>
      </x:c>
      <x:c r="K65" t="str">
        <x:v>Network/VPN</x:v>
      </x:c>
      <x:c r="L65" t="str">
        <x:v>VPN Disconnect</x:v>
      </x:c>
      <x:c r="M65" t="str">
        <x:v>Small Team</x:v>
      </x:c>
      <x:c r="N65" t="str">
        <x:v>Low</x:v>
      </x:c>
      <x:c r="O65" t="str">
        <x:v>P3</x:v>
      </x:c>
      <x:c r="P65" t="str">
        <x:v>Network Support</x:v>
      </x:c>
      <x:c r="Q65" t="str">
        <x:v>Did this start today, and does the issue happen on other networks?</x:v>
      </x:c>
      <x:c r="R65" t="str">
        <x:v>Test name resolution and access to internal resources to separate VPN, DNS, and permissions issues.</x:v>
      </x:c>
      <x:c r="S65" t="str">
        <x:v>No</x:v>
      </x:c>
      <x:c r="T65" t="str">
        <x:v>Escalated to owning team for deeper investigation.</x:v>
      </x:c>
    </x:row>
    <x:row r="66">
      <x:c r="A66" t="str">
        <x:v>HD-20260065</x:v>
      </x:c>
      <x:c r="B66" t="str">
        <x:v>2026-01-31 12:20</x:v>
      </x:c>
      <x:c r="C66" t="str">
        <x:v>Email</x:v>
      </x:c>
      <x:c r="D66" t="str">
        <x:v>Manager</x:v>
      </x:c>
      <x:c r="E66" t="str">
        <x:v>Executive</x:v>
      </x:c>
      <x:c r="F66" t="str">
        <x:v>Austin Branch</x:v>
      </x:c>
      <x:c r="G66" t="str">
        <x:v>Laptop</x:v>
      </x:c>
      <x:c r="H66" t="str">
        <x:v>Windows 10</x:v>
      </x:c>
      <x:c r="I66" t="str">
        <x:v>No network access on wired desktop</x:v>
      </x:c>
      <x:c r="J66" t="str">
        <x:v>Desktop shows connected to Ethernet but cannot reach intranet sites or mapped drives. The user states the issue was intermittent yesterday and is now constant.</x:v>
      </x:c>
      <x:c r="K66" t="str">
        <x:v>Network/VPN</x:v>
      </x:c>
      <x:c r="L66" t="str">
        <x:v>DNS/Name Resolution</x:v>
      </x:c>
      <x:c r="M66" t="str">
        <x:v>Small Team</x:v>
      </x:c>
      <x:c r="N66" t="str">
        <x:v>Low</x:v>
      </x:c>
      <x:c r="O66" t="str">
        <x:v>P3</x:v>
      </x:c>
      <x:c r="P66" t="str">
        <x:v>Network Support</x:v>
      </x:c>
      <x:c r="Q66" t="str">
        <x:v>Can you reach the internet and internal resources separately, or neither?</x:v>
      </x:c>
      <x:c r="R66" t="str">
        <x:v>Confirm whether the issue affects one user or multiple users before escalating.</x:v>
      </x:c>
      <x:c r="S66" t="str">
        <x:v>Yes</x:v>
      </x:c>
      <x:c r="T66" t="str">
        <x:v>Resolved after client-side remediation and user retest.</x:v>
      </x:c>
    </x:row>
    <x:row r="67">
      <x:c r="A67" t="str">
        <x:v>HD-20260066</x:v>
      </x:c>
      <x:c r="B67" t="str">
        <x:v>2026-03-11 16:14</x:v>
      </x:c>
      <x:c r="C67" t="str">
        <x:v>Chat</x:v>
      </x:c>
      <x:c r="D67" t="str">
        <x:v>Specialist</x:v>
      </x:c>
      <x:c r="E67" t="str">
        <x:v>Executive</x:v>
      </x:c>
      <x:c r="F67" t="str">
        <x:v>Remote - Texas</x:v>
      </x:c>
      <x:c r="G67" t="str">
        <x:v>Desktop</x:v>
      </x:c>
      <x:c r="H67" t="str">
        <x:v>Windows 11</x:v>
      </x:c>
      <x:c r="I67" t="str">
        <x:v>Update keeps failing</x:v>
      </x:c>
      <x:c r="J67" t="str">
        <x:v>User is prompted to update an application but the update process fails repeatedly. The problem started after a password change.</x:v>
      </x:c>
      <x:c r="K67" t="str">
        <x:v>Software</x:v>
      </x:c>
      <x:c r="L67" t="str">
        <x:v>License Issue</x:v>
      </x:c>
      <x:c r="M67" t="str">
        <x:v>Single User</x:v>
      </x:c>
      <x:c r="N67" t="str">
        <x:v>Low</x:v>
      </x:c>
      <x:c r="O67" t="str">
        <x:v>P4</x:v>
      </x:c>
      <x:c r="P67" t="str">
        <x:v>Desktop Support</x:v>
      </x:c>
      <x:c r="Q67" t="str">
        <x:v>Is the software request already approved by the manager or application owner?</x:v>
      </x:c>
      <x:c r="R67" t="str">
        <x:v>Confirm the exact application name and whether the failure began after an update or change.</x:v>
      </x:c>
      <x:c r="S67" t="str">
        <x:v>Yes</x:v>
      </x:c>
      <x:c r="T67" t="str">
        <x:v>Resolved by restoring expected connectivity or application functionality.</x:v>
      </x:c>
    </x:row>
    <x:row r="68">
      <x:c r="A68" t="str">
        <x:v>HD-20260067</x:v>
      </x:c>
      <x:c r="B68" t="str">
        <x:v>2026-01-26 06:30</x:v>
      </x:c>
      <x:c r="C68" t="str">
        <x:v>Chat</x:v>
      </x:c>
      <x:c r="D68" t="str">
        <x:v>Analyst</x:v>
      </x:c>
      <x:c r="E68" t="str">
        <x:v>Sales</x:v>
      </x:c>
      <x:c r="F68" t="str">
        <x:v>Austin Branch</x:v>
      </x:c>
      <x:c r="G68" t="str">
        <x:v>Desktop</x:v>
      </x:c>
      <x:c r="H68" t="str">
        <x:v>macOS</x:v>
      </x:c>
      <x:c r="I68" t="str">
        <x:v>OneDrive not syncing</x:v>
      </x:c>
      <x:c r="J68" t="str">
        <x:v>Files updated on one device are not appearing on another and sync shows errors. Another coworker reported a similar symptom.</x:v>
      </x:c>
      <x:c r="K68" t="str">
        <x:v>File/Share Access</x:v>
      </x:c>
      <x:c r="L68" t="str">
        <x:v>File Sync Issue</x:v>
      </x:c>
      <x:c r="M68" t="str">
        <x:v>Department</x:v>
      </x:c>
      <x:c r="N68" t="str">
        <x:v>Low</x:v>
      </x:c>
      <x:c r="O68" t="str">
        <x:v>P2</x:v>
      </x:c>
      <x:c r="P68" t="str">
        <x:v>Infrastructure</x:v>
      </x:c>
      <x:c r="Q68" t="str">
        <x:v>Do you know the exact path, site, or file name involved?</x:v>
      </x:c>
      <x:c r="R68" t="str">
        <x:v>Collect the exact share, site, or path so support can verify access quickly.</x:v>
      </x:c>
      <x:c r="S68" t="str">
        <x:v>Yes</x:v>
      </x:c>
      <x:c r="T68" t="str">
        <x:v>Issue resolved after standard troubleshooting and confirmation from user.</x:v>
      </x:c>
    </x:row>
    <x:row r="69">
      <x:c r="A69" t="str">
        <x:v>HD-20260068</x:v>
      </x:c>
      <x:c r="B69" t="str">
        <x:v>2026-02-17 08:07</x:v>
      </x:c>
      <x:c r="C69" t="str">
        <x:v>Chat</x:v>
      </x:c>
      <x:c r="D69" t="str">
        <x:v>Manager</x:v>
      </x:c>
      <x:c r="E69" t="str">
        <x:v>Finance</x:v>
      </x:c>
      <x:c r="F69" t="str">
        <x:v>Remote - Texas</x:v>
      </x:c>
      <x:c r="G69" t="str">
        <x:v>Laptop</x:v>
      </x:c>
      <x:c r="H69" t="str">
        <x:v>Windows 11</x:v>
      </x:c>
      <x:c r="I69" t="str">
        <x:v>Update keeps failing</x:v>
      </x:c>
      <x:c r="J69" t="str">
        <x:v>User is prompted to update an application but the update process fails repeatedly. A screenshot is available in the ticket.</x:v>
      </x:c>
      <x:c r="K69" t="str">
        <x:v>Software</x:v>
      </x:c>
      <x:c r="L69" t="str">
        <x:v>Application Crash</x:v>
      </x:c>
      <x:c r="M69" t="str">
        <x:v>Department</x:v>
      </x:c>
      <x:c r="N69" t="str">
        <x:v>Low</x:v>
      </x:c>
      <x:c r="O69" t="str">
        <x:v>P2</x:v>
      </x:c>
      <x:c r="P69" t="str">
        <x:v>Desktop Support</x:v>
      </x:c>
      <x:c r="Q69" t="str">
        <x:v>What exact application and version are involved, and when did it last work?</x:v>
      </x:c>
      <x:c r="R69" t="str">
        <x:v>Collect screenshots or error text before reinstalling or clearing caches.</x:v>
      </x:c>
      <x:c r="S69" t="str">
        <x:v>Yes</x:v>
      </x:c>
      <x:c r="T69" t="str">
        <x:v>Resolved by restoring expected connectivity or application functionality.</x:v>
      </x:c>
    </x:row>
    <x:row r="70">
      <x:c r="A70" t="str">
        <x:v>HD-20260069</x:v>
      </x:c>
      <x:c r="B70" t="str">
        <x:v>2026-03-06 05:23</x:v>
      </x:c>
      <x:c r="C70" t="str">
        <x:v>Portal</x:v>
      </x:c>
      <x:c r="D70" t="str">
        <x:v>Coordinator</x:v>
      </x:c>
      <x:c r="E70" t="str">
        <x:v>Operations</x:v>
      </x:c>
      <x:c r="F70" t="str">
        <x:v>Dallas HQ</x:v>
      </x:c>
      <x:c r="G70" t="str">
        <x:v>Laptop</x:v>
      </x:c>
      <x:c r="H70" t="str">
        <x:v>Windows 10</x:v>
      </x:c>
      <x:c r="I70" t="str">
        <x:v>Report will not generate</x:v>
      </x:c>
      <x:c r="J70" t="str">
        <x:v>Requested operational report fails to run or exports blank data. The issue appears limited to one device.</x:v>
      </x:c>
      <x:c r="K70" t="str">
        <x:v>Line of Business App</x:v>
      </x:c>
      <x:c r="L70" t="str">
        <x:v>Role Access</x:v>
      </x:c>
      <x:c r="M70" t="str">
        <x:v>Small Team</x:v>
      </x:c>
      <x:c r="N70" t="str">
        <x:v>Medium</x:v>
      </x:c>
      <x:c r="O70" t="str">
        <x:v>P2</x:v>
      </x:c>
      <x:c r="P70" t="str">
        <x:v>Business Applications</x:v>
      </x:c>
      <x:c r="Q70" t="str">
        <x:v>What exact application, function, and error text are involved?</x:v>
      </x:c>
      <x:c r="R70" t="str">
        <x:v>Separate user-permission issues from application or database failures.</x:v>
      </x:c>
      <x:c r="S70" t="str">
        <x:v>No</x:v>
      </x:c>
      <x:c r="T70" t="str">
        <x:v>Pending vendor, infrastructure, or application team review.</x:v>
      </x:c>
    </x:row>
    <x:row r="71">
      <x:c r="A71" t="str">
        <x:v>HD-20260070</x:v>
      </x:c>
      <x:c r="B71" t="str">
        <x:v>2026-01-14 03:42</x:v>
      </x:c>
      <x:c r="C71" t="str">
        <x:v>Portal</x:v>
      </x:c>
      <x:c r="D71" t="str">
        <x:v>Supervisor</x:v>
      </x:c>
      <x:c r="E71" t="str">
        <x:v>Operations</x:v>
      </x:c>
      <x:c r="F71" t="str">
        <x:v>Plano Office</x:v>
      </x:c>
      <x:c r="G71" t="str">
        <x:v>Desktop</x:v>
      </x:c>
      <x:c r="H71" t="str">
        <x:v>Windows 11</x:v>
      </x:c>
      <x:c r="I71" t="str">
        <x:v>Printer shows offline</x:v>
      </x:c>
      <x:c r="J71" t="str">
        <x:v>User cannot print because the shared printer appears offline from the workstation. The user is remote and connected through home internet.</x:v>
      </x:c>
      <x:c r="K71" t="str">
        <x:v>Printing</x:v>
      </x:c>
      <x:c r="L71" t="str">
        <x:v>Scan to Email</x:v>
      </x:c>
      <x:c r="M71" t="str">
        <x:v>Multiple Sites</x:v>
      </x:c>
      <x:c r="N71" t="str">
        <x:v>Medium</x:v>
      </x:c>
      <x:c r="O71" t="str">
        <x:v>P1</x:v>
      </x:c>
      <x:c r="P71" t="str">
        <x:v>Field Support</x:v>
      </x:c>
      <x:c r="Q71" t="str">
        <x:v>Is the issue affecting one user, one printer, or everyone using that printer?</x:v>
      </x:c>
      <x:c r="R71" t="str">
        <x:v>Identify whether the failure is user-specific, workstation-specific, or printer-wide.</x:v>
      </x:c>
      <x:c r="S71" t="str">
        <x:v>Yes</x:v>
      </x:c>
      <x:c r="T71" t="str">
        <x:v>Resolved by correcting account or permission settings and validating access.</x:v>
      </x:c>
    </x:row>
    <x:row r="72">
      <x:c r="A72" t="str">
        <x:v>HD-20260071</x:v>
      </x:c>
      <x:c r="B72" t="str">
        <x:v>2026-02-03 08:49</x:v>
      </x:c>
      <x:c r="C72" t="str">
        <x:v>Chat</x:v>
      </x:c>
      <x:c r="D72" t="str">
        <x:v>Specialist</x:v>
      </x:c>
      <x:c r="E72" t="str">
        <x:v>HR</x:v>
      </x:c>
      <x:c r="F72" t="str">
        <x:v>Fort Worth Store</x:v>
      </x:c>
      <x:c r="G72" t="str">
        <x:v>Laptop</x:v>
      </x:c>
      <x:c r="H72" t="str">
        <x:v>macOS</x:v>
      </x:c>
      <x:c r="I72" t="str">
        <x:v>Laptop running extremely slow</x:v>
      </x:c>
      <x:c r="J72" t="str">
        <x:v>User reports severe slowness during normal work, especially when launching applications. The behavior is affecting normal job duties.</x:v>
      </x:c>
      <x:c r="K72" t="str">
        <x:v>Hardware</x:v>
      </x:c>
      <x:c r="L72" t="str">
        <x:v>Battery/Power</x:v>
      </x:c>
      <x:c r="M72" t="str">
        <x:v>Single User</x:v>
      </x:c>
      <x:c r="N72" t="str">
        <x:v>High</x:v>
      </x:c>
      <x:c r="O72" t="str">
        <x:v>P2</x:v>
      </x:c>
      <x:c r="P72" t="str">
        <x:v>Desktop Support</x:v>
      </x:c>
      <x:c r="Q72" t="str">
        <x:v>Is the issue happening with one accessory or multiple devices connected to the workstation?</x:v>
      </x:c>
      <x:c r="R72" t="str">
        <x:v>Determine whether the issue is isolated to one device, one dock, or one user profile.</x:v>
      </x:c>
      <x:c r="S72" t="str">
        <x:v>No</x:v>
      </x:c>
      <x:c r="T72" t="str">
        <x:v>Under investigation due to inability to reproduce consistently.</x:v>
      </x:c>
    </x:row>
    <x:row r="73">
      <x:c r="A73" t="str">
        <x:v>HD-20260072</x:v>
      </x:c>
      <x:c r="B73" t="str">
        <x:v>2026-02-25 13:20</x:v>
      </x:c>
      <x:c r="C73" t="str">
        <x:v>Email</x:v>
      </x:c>
      <x:c r="D73" t="str">
        <x:v>Manager</x:v>
      </x:c>
      <x:c r="E73" t="str">
        <x:v>Sales</x:v>
      </x:c>
      <x:c r="F73" t="str">
        <x:v>Remote - Texas</x:v>
      </x:c>
      <x:c r="G73" t="str">
        <x:v>Laptop</x:v>
      </x:c>
      <x:c r="H73" t="str">
        <x:v>Windows 11</x:v>
      </x:c>
      <x:c r="I73" t="str">
        <x:v>Outlook keeps asking for password</x:v>
      </x:c>
      <x:c r="J73" t="str">
        <x:v>Outlook opens but repeatedly prompts for credentials and does not stay connected. Another coworker reported a similar symptom.</x:v>
      </x:c>
      <x:c r="K73" t="str">
        <x:v>Email &amp; Collaboration</x:v>
      </x:c>
      <x:c r="L73" t="str">
        <x:v>Outlook Issue</x:v>
      </x:c>
      <x:c r="M73" t="str">
        <x:v>Single User</x:v>
      </x:c>
      <x:c r="N73" t="str">
        <x:v>Medium</x:v>
      </x:c>
      <x:c r="O73" t="str">
        <x:v>P3</x:v>
      </x:c>
      <x:c r="P73" t="str">
        <x:v>Messaging Team</x:v>
      </x:c>
      <x:c r="Q73" t="str">
        <x:v>Is the issue only in Outlook, or does it also happen in webmail or Teams?</x:v>
      </x:c>
      <x:c r="R73" t="str">
        <x:v>Verify whether the mailbox or calendar access was recently changed.</x:v>
      </x:c>
      <x:c r="S73" t="str">
        <x:v>Yes</x:v>
      </x:c>
      <x:c r="T73" t="str">
        <x:v>Issue resolved after standard troubleshooting and confirmation from user.</x:v>
      </x:c>
    </x:row>
    <x:row r="74">
      <x:c r="A74" t="str">
        <x:v>HD-20260073</x:v>
      </x:c>
      <x:c r="B74" t="str">
        <x:v>2026-01-10 00:46</x:v>
      </x:c>
      <x:c r="C74" t="str">
        <x:v>Portal</x:v>
      </x:c>
      <x:c r="D74" t="str">
        <x:v>Director</x:v>
      </x:c>
      <x:c r="E74" t="str">
        <x:v>Warehouse</x:v>
      </x:c>
      <x:c r="F74" t="str">
        <x:v>Remote - Texas</x:v>
      </x:c>
      <x:c r="G74" t="str">
        <x:v>Laptop</x:v>
      </x:c>
      <x:c r="H74" t="str">
        <x:v>Windows 10</x:v>
      </x:c>
      <x:c r="I74" t="str">
        <x:v>OneDrive not syncing</x:v>
      </x:c>
      <x:c r="J74" t="str">
        <x:v>Files updated on one device are not appearing on another and sync shows errors. The problem started after a password change.</x:v>
      </x:c>
      <x:c r="K74" t="str">
        <x:v>File/Share Access</x:v>
      </x:c>
      <x:c r="L74" t="str">
        <x:v>File Recovery</x:v>
      </x:c>
      <x:c r="M74" t="str">
        <x:v>Single User</x:v>
      </x:c>
      <x:c r="N74" t="str">
        <x:v>High</x:v>
      </x:c>
      <x:c r="O74" t="str">
        <x:v>P2</x:v>
      </x:c>
      <x:c r="P74" t="str">
        <x:v>Infrastructure</x:v>
      </x:c>
      <x:c r="Q74" t="str">
        <x:v>Does this affect one user, a team, or an entire department share?</x:v>
      </x:c>
      <x:c r="R74" t="str">
        <x:v>Clarify whether the issue is permissions, pathing, sync, or deletion before routing.</x:v>
      </x:c>
      <x:c r="S74" t="str">
        <x:v>No</x:v>
      </x:c>
      <x:c r="T74" t="str">
        <x:v>Open pending approval, access change, or replacement hardware.</x:v>
      </x:c>
    </x:row>
    <x:row r="75">
      <x:c r="A75" t="str">
        <x:v>HD-20260074</x:v>
      </x:c>
      <x:c r="B75" t="str">
        <x:v>2026-01-29 19:39</x:v>
      </x:c>
      <x:c r="C75" t="str">
        <x:v>Portal</x:v>
      </x:c>
      <x:c r="D75" t="str">
        <x:v>Supervisor</x:v>
      </x:c>
      <x:c r="E75" t="str">
        <x:v>Warehouse</x:v>
      </x:c>
      <x:c r="F75" t="str">
        <x:v>Plano Office</x:v>
      </x:c>
      <x:c r="G75" t="str">
        <x:v>Laptop</x:v>
      </x:c>
      <x:c r="H75" t="str">
        <x:v>Windows 10</x:v>
      </x:c>
      <x:c r="I75" t="str">
        <x:v>Need file restored</x:v>
      </x:c>
      <x:c r="J75" t="str">
        <x:v>User accidentally deleted or overwrote a file and is requesting recovery options. A screenshot is available in the ticket.</x:v>
      </x:c>
      <x:c r="K75" t="str">
        <x:v>File/Share Access</x:v>
      </x:c>
      <x:c r="L75" t="str">
        <x:v>Mapped Drive Missing</x:v>
      </x:c>
      <x:c r="M75" t="str">
        <x:v>Small Team</x:v>
      </x:c>
      <x:c r="N75" t="str">
        <x:v>Low</x:v>
      </x:c>
      <x:c r="O75" t="str">
        <x:v>P3</x:v>
      </x:c>
      <x:c r="P75" t="str">
        <x:v>Infrastructure</x:v>
      </x:c>
      <x:c r="Q75" t="str">
        <x:v>Do you know the exact path, site, or file name involved?</x:v>
      </x:c>
      <x:c r="R75" t="str">
        <x:v>Identify whether the issue affects only one user or multiple people.</x:v>
      </x:c>
      <x:c r="S75" t="str">
        <x:v>Yes</x:v>
      </x:c>
      <x:c r="T75" t="str">
        <x:v>Resolved by restoring expected connectivity or application functionality.</x:v>
      </x:c>
    </x:row>
    <x:row r="76">
      <x:c r="A76" t="str">
        <x:v>HD-20260075</x:v>
      </x:c>
      <x:c r="B76" t="str">
        <x:v>2026-02-10 15:21</x:v>
      </x:c>
      <x:c r="C76" t="str">
        <x:v>Portal</x:v>
      </x:c>
      <x:c r="D76" t="str">
        <x:v>Coordinator</x:v>
      </x:c>
      <x:c r="E76" t="str">
        <x:v>IT</x:v>
      </x:c>
      <x:c r="F76" t="str">
        <x:v>Remote - Texas</x:v>
      </x:c>
      <x:c r="G76" t="str">
        <x:v>Mobile</x:v>
      </x:c>
      <x:c r="H76" t="str">
        <x:v>Windows 10</x:v>
      </x:c>
      <x:c r="I76" t="str">
        <x:v>Locked out after too many attempts</x:v>
      </x:c>
      <x:c r="J76" t="str">
        <x:v>User can no longer sign in after repeated password attempts and believes the account is locked. The user has already rebooted once.</x:v>
      </x:c>
      <x:c r="K76" t="str">
        <x:v>Identity &amp; Access</x:v>
      </x:c>
      <x:c r="L76" t="str">
        <x:v>SSO/Login Failure</x:v>
      </x:c>
      <x:c r="M76" t="str">
        <x:v>Single User</x:v>
      </x:c>
      <x:c r="N76" t="str">
        <x:v>High</x:v>
      </x:c>
      <x:c r="O76" t="str">
        <x:v>P2</x:v>
      </x:c>
      <x:c r="P76" t="str">
        <x:v>Service Desk</x:v>
      </x:c>
      <x:c r="Q76" t="str">
        <x:v>Are you able to sign in anywhere else, or is the problem affecting every login?</x:v>
      </x:c>
      <x:c r="R76" t="str">
        <x:v>Confirm whether the user recently changed credentials or devices before resetting anything.</x:v>
      </x:c>
      <x:c r="S76" t="str">
        <x:v>Yes</x:v>
      </x:c>
      <x:c r="T76" t="str">
        <x:v>Resolved after client-side remediation and user retest.</x:v>
      </x:c>
    </x:row>
    <x:row r="77">
      <x:c r="A77" t="str">
        <x:v>HD-20260076</x:v>
      </x:c>
      <x:c r="B77" t="str">
        <x:v>2026-03-10 09:23</x:v>
      </x:c>
      <x:c r="C77" t="str">
        <x:v>Email</x:v>
      </x:c>
      <x:c r="D77" t="str">
        <x:v>Analyst</x:v>
      </x:c>
      <x:c r="E77" t="str">
        <x:v>HR</x:v>
      </x:c>
      <x:c r="F77" t="str">
        <x:v>Plano Office</x:v>
      </x:c>
      <x:c r="G77" t="str">
        <x:v>Laptop</x:v>
      </x:c>
      <x:c r="H77" t="str">
        <x:v>Windows 11</x:v>
      </x:c>
      <x:c r="I77" t="str">
        <x:v>Teams audio not working</x:v>
      </x:c>
      <x:c r="J77" t="str">
        <x:v>User can join meetings but cannot hear audio or the microphone is not detected properly. The user has already rebooted once.</x:v>
      </x:c>
      <x:c r="K77" t="str">
        <x:v>Email &amp; Collaboration</x:v>
      </x:c>
      <x:c r="L77" t="str">
        <x:v>Outlook Issue</x:v>
      </x:c>
      <x:c r="M77" t="str">
        <x:v>Single User</x:v>
      </x:c>
      <x:c r="N77" t="str">
        <x:v>Low</x:v>
      </x:c>
      <x:c r="O77" t="str">
        <x:v>P4</x:v>
      </x:c>
      <x:c r="P77" t="str">
        <x:v>Messaging Team</x:v>
      </x:c>
      <x:c r="Q77" t="str">
        <x:v>When did it last work normally?</x:v>
      </x:c>
      <x:c r="R77" t="str">
        <x:v>Verify whether the mailbox or calendar access was recently changed.</x:v>
      </x:c>
      <x:c r="S77" t="str">
        <x:v>Yes</x:v>
      </x:c>
      <x:c r="T77" t="str">
        <x:v>Resolved after service desk triage and routing to the correct support team.</x:v>
      </x:c>
    </x:row>
    <x:row r="78">
      <x:c r="A78" t="str">
        <x:v>HD-20260077</x:v>
      </x:c>
      <x:c r="B78" t="str">
        <x:v>2026-03-19 15:06</x:v>
      </x:c>
      <x:c r="C78" t="str">
        <x:v>Portal</x:v>
      </x:c>
      <x:c r="D78" t="str">
        <x:v>Specialist</x:v>
      </x:c>
      <x:c r="E78" t="str">
        <x:v>Customer Service</x:v>
      </x:c>
      <x:c r="F78" t="str">
        <x:v>Austin Branch</x:v>
      </x:c>
      <x:c r="G78" t="str">
        <x:v>Mobile</x:v>
      </x:c>
      <x:c r="H78" t="str">
        <x:v>iPhone</x:v>
      </x:c>
      <x:c r="I78" t="str">
        <x:v>Possible phishing email received</x:v>
      </x:c>
      <x:c r="J78" t="str">
        <x:v>User received an email requesting credentials or payment information and wants it reviewed. The issue appears limited to one device.</x:v>
      </x:c>
      <x:c r="K78" t="str">
        <x:v>Security</x:v>
      </x:c>
      <x:c r="L78" t="str">
        <x:v>Suspicious Login</x:v>
      </x:c>
      <x:c r="M78" t="str">
        <x:v>Small Team</x:v>
      </x:c>
      <x:c r="N78" t="str">
        <x:v>Medium</x:v>
      </x:c>
      <x:c r="O78" t="str">
        <x:v>P1</x:v>
      </x:c>
      <x:c r="P78" t="str">
        <x:v>Security Operations</x:v>
      </x:c>
      <x:c r="Q78" t="str">
        <x:v>Did the user click anything, enter credentials, or download a file?</x:v>
      </x:c>
      <x:c r="R78" t="str">
        <x:v>Determine whether credentials, clicks, or downloads occurred before deciding containment steps.</x:v>
      </x:c>
      <x:c r="S78" t="str">
        <x:v>Yes</x:v>
      </x:c>
      <x:c r="T78" t="str">
        <x:v>Resolved after service desk triage and routing to the correct support team.</x:v>
      </x:c>
    </x:row>
    <x:row r="79">
      <x:c r="A79" t="str">
        <x:v>HD-20260078</x:v>
      </x:c>
      <x:c r="B79" t="str">
        <x:v>2026-02-04 07:22</x:v>
      </x:c>
      <x:c r="C79" t="str">
        <x:v>Chat</x:v>
      </x:c>
      <x:c r="D79" t="str">
        <x:v>Manager</x:v>
      </x:c>
      <x:c r="E79" t="str">
        <x:v>Sales</x:v>
      </x:c>
      <x:c r="F79" t="str">
        <x:v>Remote - Texas</x:v>
      </x:c>
      <x:c r="G79" t="str">
        <x:v>Laptop</x:v>
      </x:c>
      <x:c r="H79" t="str">
        <x:v>Windows 10</x:v>
      </x:c>
      <x:c r="I79" t="str">
        <x:v>Integration stopped updating</x:v>
      </x:c>
      <x:c r="J79" t="str">
        <x:v>Data that should flow from one system to another appears delayed or missing. The problem started after a password change.</x:v>
      </x:c>
      <x:c r="K79" t="str">
        <x:v>Line of Business App</x:v>
      </x:c>
      <x:c r="L79" t="str">
        <x:v>Integration Error</x:v>
      </x:c>
      <x:c r="M79" t="str">
        <x:v>Single User</x:v>
      </x:c>
      <x:c r="N79" t="str">
        <x:v>High</x:v>
      </x:c>
      <x:c r="O79" t="str">
        <x:v>P2</x:v>
      </x:c>
      <x:c r="P79" t="str">
        <x:v>Business Applications</x:v>
      </x:c>
      <x:c r="Q79" t="str">
        <x:v>Is there a business deadline or outage impact right now?</x:v>
      </x:c>
      <x:c r="R79" t="str">
        <x:v>Determine whether the issue is localized or business-wide.</x:v>
      </x:c>
      <x:c r="S79" t="str">
        <x:v>Yes</x:v>
      </x:c>
      <x:c r="T79" t="str">
        <x:v>Issue resolved after standard troubleshooting and confirmation from user.</x:v>
      </x:c>
    </x:row>
    <x:row r="80">
      <x:c r="A80" t="str">
        <x:v>HD-20260079</x:v>
      </x:c>
      <x:c r="B80" t="str">
        <x:v>2026-03-08 21:20</x:v>
      </x:c>
      <x:c r="C80" t="str">
        <x:v>Email</x:v>
      </x:c>
      <x:c r="D80" t="str">
        <x:v>Associate</x:v>
      </x:c>
      <x:c r="E80" t="str">
        <x:v>Finance</x:v>
      </x:c>
      <x:c r="F80" t="str">
        <x:v>Houston Branch</x:v>
      </x:c>
      <x:c r="G80" t="str">
        <x:v>Laptop</x:v>
      </x:c>
      <x:c r="H80" t="str">
        <x:v>Windows 10</x:v>
      </x:c>
      <x:c r="I80" t="str">
        <x:v>Device not compliant in MDM</x:v>
      </x:c>
      <x:c r="J80" t="str">
        <x:v>User cannot access resources because the device is reported as non-compliant. A screenshot is available in the ticket.</x:v>
      </x:c>
      <x:c r="K80" t="str">
        <x:v>Mobile/Remote</x:v>
      </x:c>
      <x:c r="L80" t="str">
        <x:v>BYOD Access</x:v>
      </x:c>
      <x:c r="M80" t="str">
        <x:v>Single User</x:v>
      </x:c>
      <x:c r="N80" t="str">
        <x:v>Medium</x:v>
      </x:c>
      <x:c r="O80" t="str">
        <x:v>P3</x:v>
      </x:c>
      <x:c r="P80" t="str">
        <x:v>Mobility Team</x:v>
      </x:c>
      <x:c r="Q80" t="str">
        <x:v>Are you on cellular, Wi-Fi, or both when the issue happens?</x:v>
      </x:c>
      <x:c r="R80" t="str">
        <x:v>Verify whether the issue is device enrollment, connectivity, or account-related.</x:v>
      </x:c>
      <x:c r="S80" t="str">
        <x:v>Yes</x:v>
      </x:c>
      <x:c r="T80" t="str">
        <x:v>Resolved after service desk triage and routing to the correct support team.</x:v>
      </x:c>
    </x:row>
    <x:row r="81">
      <x:c r="A81" t="str">
        <x:v>HD-20260080</x:v>
      </x:c>
      <x:c r="B81" t="str">
        <x:v>2026-02-04 18:27</x:v>
      </x:c>
      <x:c r="C81" t="str">
        <x:v>Phone</x:v>
      </x:c>
      <x:c r="D81" t="str">
        <x:v>Director</x:v>
      </x:c>
      <x:c r="E81" t="str">
        <x:v>Finance</x:v>
      </x:c>
      <x:c r="F81" t="str">
        <x:v>Austin Branch</x:v>
      </x:c>
      <x:c r="G81" t="str">
        <x:v>Desktop</x:v>
      </x:c>
      <x:c r="H81" t="str">
        <x:v>Windows 10</x:v>
      </x:c>
      <x:c r="I81" t="str">
        <x:v>SharePoint site inaccessible</x:v>
      </x:c>
      <x:c r="J81" t="str">
        <x:v>User receives an access or loading error when trying to open a team site. No recent hardware changes were reported.</x:v>
      </x:c>
      <x:c r="K81" t="str">
        <x:v>File/Share Access</x:v>
      </x:c>
      <x:c r="L81" t="str">
        <x:v>SharePoint/OneDrive</x:v>
      </x:c>
      <x:c r="M81" t="str">
        <x:v>Single User</x:v>
      </x:c>
      <x:c r="N81" t="str">
        <x:v>Medium</x:v>
      </x:c>
      <x:c r="O81" t="str">
        <x:v>P3</x:v>
      </x:c>
      <x:c r="P81" t="str">
        <x:v>Infrastructure</x:v>
      </x:c>
      <x:c r="Q81" t="str">
        <x:v>Do you know the exact path, site, or file name involved?</x:v>
      </x:c>
      <x:c r="R81" t="str">
        <x:v>Collect the exact share, site, or path so support can verify access quickly.</x:v>
      </x:c>
      <x:c r="S81" t="str">
        <x:v>Yes</x:v>
      </x:c>
      <x:c r="T81" t="str">
        <x:v>Issue resolved after standard troubleshooting and confirmation from user.</x:v>
      </x:c>
    </x:row>
    <x:row r="82">
      <x:c r="A82" t="str">
        <x:v>HD-20260081</x:v>
      </x:c>
      <x:c r="B82" t="str">
        <x:v>2026-02-03 07:07</x:v>
      </x:c>
      <x:c r="C82" t="str">
        <x:v>Phone</x:v>
      </x:c>
      <x:c r="D82" t="str">
        <x:v>Coordinator</x:v>
      </x:c>
      <x:c r="E82" t="str">
        <x:v>Sales</x:v>
      </x:c>
      <x:c r="F82" t="str">
        <x:v>Remote - Texas</x:v>
      </x:c>
      <x:c r="G82" t="str">
        <x:v>Laptop</x:v>
      </x:c>
      <x:c r="H82" t="str">
        <x:v>Windows 10</x:v>
      </x:c>
      <x:c r="I82" t="str">
        <x:v>Website blocked by security software</x:v>
      </x:c>
      <x:c r="J82" t="str">
        <x:v>Security software prevents access to a site the user believes is needed for work. The issue appears limited to one device.</x:v>
      </x:c>
      <x:c r="K82" t="str">
        <x:v>Security</x:v>
      </x:c>
      <x:c r="L82" t="str">
        <x:v>Phishing Report</x:v>
      </x:c>
      <x:c r="M82" t="str">
        <x:v>Single User</x:v>
      </x:c>
      <x:c r="N82" t="str">
        <x:v>Medium</x:v>
      </x:c>
      <x:c r="O82" t="str">
        <x:v>P3</x:v>
      </x:c>
      <x:c r="P82" t="str">
        <x:v>Security Operations</x:v>
      </x:c>
      <x:c r="Q82" t="str">
        <x:v>Did the user click anything, enter credentials, or download a file?</x:v>
      </x:c>
      <x:c r="R82" t="str">
        <x:v>Treat the report as security-sensitive, preserve evidence, and avoid telling the user to continue interacting with the content.</x:v>
      </x:c>
      <x:c r="S82" t="str">
        <x:v>Yes</x:v>
      </x:c>
      <x:c r="T82" t="str">
        <x:v>Resolved by correcting account or permission settings and validating access.</x:v>
      </x:c>
    </x:row>
    <x:row r="83">
      <x:c r="A83" t="str">
        <x:v>HD-20260082</x:v>
      </x:c>
      <x:c r="B83" t="str">
        <x:v>2026-01-12 23:55</x:v>
      </x:c>
      <x:c r="C83" t="str">
        <x:v>Portal</x:v>
      </x:c>
      <x:c r="D83" t="str">
        <x:v>Analyst</x:v>
      </x:c>
      <x:c r="E83" t="str">
        <x:v>Customer Service</x:v>
      </x:c>
      <x:c r="F83" t="str">
        <x:v>Houston Branch</x:v>
      </x:c>
      <x:c r="G83" t="str">
        <x:v>Laptop</x:v>
      </x:c>
      <x:c r="H83" t="str">
        <x:v>iPhone</x:v>
      </x:c>
      <x:c r="I83" t="str">
        <x:v>Remote desktop will not connect</x:v>
      </x:c>
      <x:c r="J83" t="str">
        <x:v>User attempts to launch remote desktop but receives a connection failure. A screenshot is available in the ticket.</x:v>
      </x:c>
      <x:c r="K83" t="str">
        <x:v>Mobile/Remote</x:v>
      </x:c>
      <x:c r="L83" t="str">
        <x:v>Mobile Email</x:v>
      </x:c>
      <x:c r="M83" t="str">
        <x:v>Single User</x:v>
      </x:c>
      <x:c r="N83" t="str">
        <x:v>Medium</x:v>
      </x:c>
      <x:c r="O83" t="str">
        <x:v>P3</x:v>
      </x:c>
      <x:c r="P83" t="str">
        <x:v>Mobility Team</x:v>
      </x:c>
      <x:c r="Q83" t="str">
        <x:v>Is the problem limited to mobile access, or does the same account fail on desktop too?</x:v>
      </x:c>
      <x:c r="R83" t="str">
        <x:v>Confirm whether desktop access still works to isolate scope.</x:v>
      </x:c>
      <x:c r="S83" t="str">
        <x:v>Yes</x:v>
      </x:c>
      <x:c r="T83" t="str">
        <x:v>Issue resolved after standard troubleshooting and confirmation from user.</x:v>
      </x:c>
    </x:row>
    <x:row r="84">
      <x:c r="A84" t="str">
        <x:v>HD-20260083</x:v>
      </x:c>
      <x:c r="B84" t="str">
        <x:v>2026-01-27 02:27</x:v>
      </x:c>
      <x:c r="C84" t="str">
        <x:v>Email</x:v>
      </x:c>
      <x:c r="D84" t="str">
        <x:v>Analyst</x:v>
      </x:c>
      <x:c r="E84" t="str">
        <x:v>Executive</x:v>
      </x:c>
      <x:c r="F84" t="str">
        <x:v>Plano Office</x:v>
      </x:c>
      <x:c r="G84" t="str">
        <x:v>Desktop</x:v>
      </x:c>
      <x:c r="H84" t="str">
        <x:v>Windows 10</x:v>
      </x:c>
      <x:c r="I84" t="str">
        <x:v>No network access on wired desktop</x:v>
      </x:c>
      <x:c r="J84" t="str">
        <x:v>Desktop shows connected to Ethernet but cannot reach intranet sites or mapped drives. The problem started after a password change.</x:v>
      </x:c>
      <x:c r="K84" t="str">
        <x:v>Network/VPN</x:v>
      </x:c>
      <x:c r="L84" t="str">
        <x:v>Wi-Fi Connectivity</x:v>
      </x:c>
      <x:c r="M84" t="str">
        <x:v>Single User</x:v>
      </x:c>
      <x:c r="N84" t="str">
        <x:v>High</x:v>
      </x:c>
      <x:c r="O84" t="str">
        <x:v>P2</x:v>
      </x:c>
      <x:c r="P84" t="str">
        <x:v>Network Support</x:v>
      </x:c>
      <x:c r="Q84" t="str">
        <x:v>Did this start today, and does the issue happen on other networks?</x:v>
      </x:c>
      <x:c r="R84" t="str">
        <x:v>Test name resolution and access to internal resources to separate VPN, DNS, and permissions issues.</x:v>
      </x:c>
      <x:c r="S84" t="str">
        <x:v>Yes</x:v>
      </x:c>
      <x:c r="T84" t="str">
        <x:v>Resolved by correcting account or permission settings and validating access.</x:v>
      </x:c>
    </x:row>
    <x:row r="85">
      <x:c r="A85" t="str">
        <x:v>HD-20260084</x:v>
      </x:c>
      <x:c r="B85" t="str">
        <x:v>2026-03-02 09:52</x:v>
      </x:c>
      <x:c r="C85" t="str">
        <x:v>Email</x:v>
      </x:c>
      <x:c r="D85" t="str">
        <x:v>Manager</x:v>
      </x:c>
      <x:c r="E85" t="str">
        <x:v>HR</x:v>
      </x:c>
      <x:c r="F85" t="str">
        <x:v>Fort Worth Store</x:v>
      </x:c>
      <x:c r="G85" t="str">
        <x:v>Mobile</x:v>
      </x:c>
      <x:c r="H85" t="str">
        <x:v>Windows 11</x:v>
      </x:c>
      <x:c r="I85" t="str">
        <x:v>Work email stopped on phone</x:v>
      </x:c>
      <x:c r="J85" t="str">
        <x:v>Mobile device no longer syncs corporate mail, calendar, or contacts. The user states the issue was intermittent yesterday and is now constant.</x:v>
      </x:c>
      <x:c r="K85" t="str">
        <x:v>Mobile/Remote</x:v>
      </x:c>
      <x:c r="L85" t="str">
        <x:v>Phone App Issue</x:v>
      </x:c>
      <x:c r="M85" t="str">
        <x:v>Single User</x:v>
      </x:c>
      <x:c r="N85" t="str">
        <x:v>High</x:v>
      </x:c>
      <x:c r="O85" t="str">
        <x:v>P2</x:v>
      </x:c>
      <x:c r="P85" t="str">
        <x:v>Mobility Team</x:v>
      </x:c>
      <x:c r="Q85" t="str">
        <x:v>Is the problem limited to mobile access, or does the same account fail on desktop too?</x:v>
      </x:c>
      <x:c r="R85" t="str">
        <x:v>Verify whether the issue is device enrollment, connectivity, or account-related.</x:v>
      </x:c>
      <x:c r="S85" t="str">
        <x:v>Yes</x:v>
      </x:c>
      <x:c r="T85" t="str">
        <x:v>Issue resolved after standard troubleshooting and confirmation from user.</x:v>
      </x:c>
    </x:row>
    <x:row r="86">
      <x:c r="A86" t="str">
        <x:v>HD-20260085</x:v>
      </x:c>
      <x:c r="B86" t="str">
        <x:v>2026-03-01 13:39</x:v>
      </x:c>
      <x:c r="C86" t="str">
        <x:v>Chat</x:v>
      </x:c>
      <x:c r="D86" t="str">
        <x:v>Specialist</x:v>
      </x:c>
      <x:c r="E86" t="str">
        <x:v>Customer Service</x:v>
      </x:c>
      <x:c r="F86" t="str">
        <x:v>Remote - Texas</x:v>
      </x:c>
      <x:c r="G86" t="str">
        <x:v>Desktop</x:v>
      </x:c>
      <x:c r="H86" t="str">
        <x:v>macOS</x:v>
      </x:c>
      <x:c r="I86" t="str">
        <x:v>Need file restored</x:v>
      </x:c>
      <x:c r="J86" t="str">
        <x:v>User accidentally deleted or overwrote a file and is requesting recovery options. The behavior is affecting normal job duties.</x:v>
      </x:c>
      <x:c r="K86" t="str">
        <x:v>File/Share Access</x:v>
      </x:c>
      <x:c r="L86" t="str">
        <x:v>File Recovery</x:v>
      </x:c>
      <x:c r="M86" t="str">
        <x:v>Department</x:v>
      </x:c>
      <x:c r="N86" t="str">
        <x:v>Medium</x:v>
      </x:c>
      <x:c r="O86" t="str">
        <x:v>P2</x:v>
      </x:c>
      <x:c r="P86" t="str">
        <x:v>Infrastructure</x:v>
      </x:c>
      <x:c r="Q86" t="str">
        <x:v>Is the file missing, inaccessible, or simply not syncing?</x:v>
      </x:c>
      <x:c r="R86" t="str">
        <x:v>Clarify whether the issue is permissions, pathing, sync, or deletion before routing.</x:v>
      </x:c>
      <x:c r="S86" t="str">
        <x:v>Yes</x:v>
      </x:c>
      <x:c r="T86" t="str">
        <x:v>Resolved after service desk triage and routing to the correct support team.</x:v>
      </x:c>
    </x:row>
    <x:row r="87">
      <x:c r="A87" t="str">
        <x:v>HD-20260086</x:v>
      </x:c>
      <x:c r="B87" t="str">
        <x:v>2026-01-09 13:03</x:v>
      </x:c>
      <x:c r="C87" t="str">
        <x:v>Email</x:v>
      </x:c>
      <x:c r="D87" t="str">
        <x:v>Specialist</x:v>
      </x:c>
      <x:c r="E87" t="str">
        <x:v>Customer Service</x:v>
      </x:c>
      <x:c r="F87" t="str">
        <x:v>Austin Branch</x:v>
      </x:c>
      <x:c r="G87" t="str">
        <x:v>Desktop</x:v>
      </x:c>
      <x:c r="H87" t="str">
        <x:v>macOS</x:v>
      </x:c>
      <x:c r="I87" t="str">
        <x:v>Browser cannot open business site</x:v>
      </x:c>
      <x:c r="J87" t="str">
        <x:v>Corporate web application loads incorrectly or produces script or certificate related issues. Another coworker reported a similar symptom.</x:v>
      </x:c>
      <x:c r="K87" t="str">
        <x:v>Software</x:v>
      </x:c>
      <x:c r="L87" t="str">
        <x:v>Application Crash</x:v>
      </x:c>
      <x:c r="M87" t="str">
        <x:v>Single User</x:v>
      </x:c>
      <x:c r="N87" t="str">
        <x:v>Medium</x:v>
      </x:c>
      <x:c r="O87" t="str">
        <x:v>P3</x:v>
      </x:c>
      <x:c r="P87" t="str">
        <x:v>Desktop Support</x:v>
      </x:c>
      <x:c r="Q87" t="str">
        <x:v>Does the issue affect one machine or multiple users?</x:v>
      </x:c>
      <x:c r="R87" t="str">
        <x:v>Confirm the exact application name and whether the failure began after an update or change.</x:v>
      </x:c>
      <x:c r="S87" t="str">
        <x:v>Yes</x:v>
      </x:c>
      <x:c r="T87" t="str">
        <x:v>Resolved after service desk triage and routing to the correct support team.</x:v>
      </x:c>
    </x:row>
    <x:row r="88">
      <x:c r="A88" t="str">
        <x:v>HD-20260087</x:v>
      </x:c>
      <x:c r="B88" t="str">
        <x:v>2026-01-11 14:28</x:v>
      </x:c>
      <x:c r="C88" t="str">
        <x:v>Chat</x:v>
      </x:c>
      <x:c r="D88" t="str">
        <x:v>Specialist</x:v>
      </x:c>
      <x:c r="E88" t="str">
        <x:v>Finance</x:v>
      </x:c>
      <x:c r="F88" t="str">
        <x:v>Dallas HQ</x:v>
      </x:c>
      <x:c r="G88" t="str">
        <x:v>Desktop</x:v>
      </x:c>
      <x:c r="H88" t="str">
        <x:v>Windows 11</x:v>
      </x:c>
      <x:c r="I88" t="str">
        <x:v>Integration stopped updating</x:v>
      </x:c>
      <x:c r="J88" t="str">
        <x:v>Data that should flow from one system to another appears delayed or missing. The issue began this morning.</x:v>
      </x:c>
      <x:c r="K88" t="str">
        <x:v>Line of Business App</x:v>
      </x:c>
      <x:c r="L88" t="str">
        <x:v>POS/ERP Error</x:v>
      </x:c>
      <x:c r="M88" t="str">
        <x:v>Single User</x:v>
      </x:c>
      <x:c r="N88" t="str">
        <x:v>Low</x:v>
      </x:c>
      <x:c r="O88" t="str">
        <x:v>P4</x:v>
      </x:c>
      <x:c r="P88" t="str">
        <x:v>Business Applications</x:v>
      </x:c>
      <x:c r="Q88" t="str">
        <x:v>Does this affect one user, one location, or many users?</x:v>
      </x:c>
      <x:c r="R88" t="str">
        <x:v>Determine whether the issue is localized or business-wide.</x:v>
      </x:c>
      <x:c r="S88" t="str">
        <x:v>Yes</x:v>
      </x:c>
      <x:c r="T88" t="str">
        <x:v>Resolved by correcting account or permission settings and validating access.</x:v>
      </x:c>
    </x:row>
    <x:row r="89">
      <x:c r="A89" t="str">
        <x:v>HD-20260088</x:v>
      </x:c>
      <x:c r="B89" t="str">
        <x:v>2026-02-10 05:49</x:v>
      </x:c>
      <x:c r="C89" t="str">
        <x:v>Portal</x:v>
      </x:c>
      <x:c r="D89" t="str">
        <x:v>Supervisor</x:v>
      </x:c>
      <x:c r="E89" t="str">
        <x:v>Customer Service</x:v>
      </x:c>
      <x:c r="F89" t="str">
        <x:v>Plano Office</x:v>
      </x:c>
      <x:c r="G89" t="str">
        <x:v>Laptop</x:v>
      </x:c>
      <x:c r="H89" t="str">
        <x:v>Windows 10</x:v>
      </x:c>
      <x:c r="I89" t="str">
        <x:v>Battery not charging</x:v>
      </x:c>
      <x:c r="J89" t="str">
        <x:v>Laptop powers on with the adapter connected but the battery percentage does not increase. The issue appears limited to one device.</x:v>
      </x:c>
      <x:c r="K89" t="str">
        <x:v>Hardware</x:v>
      </x:c>
      <x:c r="L89" t="str">
        <x:v>Peripheral Failure</x:v>
      </x:c>
      <x:c r="M89" t="str">
        <x:v>Single User</x:v>
      </x:c>
      <x:c r="N89" t="str">
        <x:v>Low</x:v>
      </x:c>
      <x:c r="O89" t="str">
        <x:v>P4</x:v>
      </x:c>
      <x:c r="P89" t="str">
        <x:v>Desktop Support</x:v>
      </x:c>
      <x:c r="Q89" t="str">
        <x:v>Is this preventing work entirely or only reducing convenience?</x:v>
      </x:c>
      <x:c r="R89" t="str">
        <x:v>Document the hardware model and any recent moves or equipment swaps.</x:v>
      </x:c>
      <x:c r="S89" t="str">
        <x:v>Yes</x:v>
      </x:c>
      <x:c r="T89" t="str">
        <x:v>Issue resolved after standard troubleshooting and confirmation from user.</x:v>
      </x:c>
    </x:row>
    <x:row r="90">
      <x:c r="A90" t="str">
        <x:v>HD-20260089</x:v>
      </x:c>
      <x:c r="B90" t="str">
        <x:v>2026-02-01 19:41</x:v>
      </x:c>
      <x:c r="C90" t="str">
        <x:v>Portal</x:v>
      </x:c>
      <x:c r="D90" t="str">
        <x:v>Manager</x:v>
      </x:c>
      <x:c r="E90" t="str">
        <x:v>Executive</x:v>
      </x:c>
      <x:c r="F90" t="str">
        <x:v>Austin Branch</x:v>
      </x:c>
      <x:c r="G90" t="str">
        <x:v>Mobile</x:v>
      </x:c>
      <x:c r="H90" t="str">
        <x:v>macOS</x:v>
      </x:c>
      <x:c r="I90" t="str">
        <x:v>Unrecognized sign-in alert</x:v>
      </x:c>
      <x:c r="J90" t="str">
        <x:v>User received a sign-in alert for a location or device they do not recognize. The user states the issue was intermittent yesterday and is now constant.</x:v>
      </x:c>
      <x:c r="K90" t="str">
        <x:v>Security</x:v>
      </x:c>
      <x:c r="L90" t="str">
        <x:v>Suspicious Login</x:v>
      </x:c>
      <x:c r="M90" t="str">
        <x:v>Single User</x:v>
      </x:c>
      <x:c r="N90" t="str">
        <x:v>High</x:v>
      </x:c>
      <x:c r="O90" t="str">
        <x:v>P2</x:v>
      </x:c>
      <x:c r="P90" t="str">
        <x:v>Security Operations</x:v>
      </x:c>
      <x:c r="Q90" t="str">
        <x:v>Did the user click anything, enter credentials, or download a file?</x:v>
      </x:c>
      <x:c r="R90" t="str">
        <x:v>Determine whether credentials, clicks, or downloads occurred before deciding containment steps.</x:v>
      </x:c>
      <x:c r="S90" t="str">
        <x:v>Yes</x:v>
      </x:c>
      <x:c r="T90" t="str">
        <x:v>Resolved after client-side remediation and user retest.</x:v>
      </x:c>
    </x:row>
    <x:row r="91">
      <x:c r="A91" t="str">
        <x:v>HD-20260090</x:v>
      </x:c>
      <x:c r="B91" t="str">
        <x:v>2026-01-24 14:21</x:v>
      </x:c>
      <x:c r="C91" t="str">
        <x:v>Email</x:v>
      </x:c>
      <x:c r="D91" t="str">
        <x:v>Manager</x:v>
      </x:c>
      <x:c r="E91" t="str">
        <x:v>IT</x:v>
      </x:c>
      <x:c r="F91" t="str">
        <x:v>Dallas HQ</x:v>
      </x:c>
      <x:c r="G91" t="str">
        <x:v>Laptop</x:v>
      </x:c>
      <x:c r="H91" t="str">
        <x:v>iPhone</x:v>
      </x:c>
      <x:c r="I91" t="str">
        <x:v>Work email stopped on phone</x:v>
      </x:c>
      <x:c r="J91" t="str">
        <x:v>Mobile device no longer syncs corporate mail, calendar, or contacts. The issue appears limited to one device.</x:v>
      </x:c>
      <x:c r="K91" t="str">
        <x:v>Mobile/Remote</x:v>
      </x:c>
      <x:c r="L91" t="str">
        <x:v>BYOD Access</x:v>
      </x:c>
      <x:c r="M91" t="str">
        <x:v>Single User</x:v>
      </x:c>
      <x:c r="N91" t="str">
        <x:v>Low</x:v>
      </x:c>
      <x:c r="O91" t="str">
        <x:v>P4</x:v>
      </x:c>
      <x:c r="P91" t="str">
        <x:v>Mobility Team</x:v>
      </x:c>
      <x:c r="Q91" t="str">
        <x:v>What device and OS version are involved, and did anything recently change?</x:v>
      </x:c>
      <x:c r="R91" t="str">
        <x:v>Verify whether the issue is device enrollment, connectivity, or account-related.</x:v>
      </x:c>
      <x:c r="S91" t="str">
        <x:v>Yes</x:v>
      </x:c>
      <x:c r="T91" t="str">
        <x:v>Issue resolved after standard troubleshooting and confirmation from user.</x:v>
      </x:c>
    </x:row>
    <x:row r="92">
      <x:c r="A92" t="str">
        <x:v>HD-20260091</x:v>
      </x:c>
      <x:c r="B92" t="str">
        <x:v>2026-01-21 18:53</x:v>
      </x:c>
      <x:c r="C92" t="str">
        <x:v>Portal</x:v>
      </x:c>
      <x:c r="D92" t="str">
        <x:v>Supervisor</x:v>
      </x:c>
      <x:c r="E92" t="str">
        <x:v>HR</x:v>
      </x:c>
      <x:c r="F92" t="str">
        <x:v>Houston Branch</x:v>
      </x:c>
      <x:c r="G92" t="str">
        <x:v>Laptop</x:v>
      </x:c>
      <x:c r="H92" t="str">
        <x:v>Android</x:v>
      </x:c>
      <x:c r="I92" t="str">
        <x:v>Cannot open work app on mobile</x:v>
      </x:c>
      <x:c r="J92" t="str">
        <x:v>Business app opens on the phone but errors before showing data. The user is remote and connected through home internet.</x:v>
      </x:c>
      <x:c r="K92" t="str">
        <x:v>Mobile/Remote</x:v>
      </x:c>
      <x:c r="L92" t="str">
        <x:v>Mobile Email</x:v>
      </x:c>
      <x:c r="M92" t="str">
        <x:v>Small Team</x:v>
      </x:c>
      <x:c r="N92" t="str">
        <x:v>Low</x:v>
      </x:c>
      <x:c r="O92" t="str">
        <x:v>P3</x:v>
      </x:c>
      <x:c r="P92" t="str">
        <x:v>Mobility Team</x:v>
      </x:c>
      <x:c r="Q92" t="str">
        <x:v>Is the problem limited to mobile access, or does the same account fail on desktop too?</x:v>
      </x:c>
      <x:c r="R92" t="str">
        <x:v>Document the phone type and any recent replacement, reset, or restore.</x:v>
      </x:c>
      <x:c r="S92" t="str">
        <x:v>No</x:v>
      </x:c>
      <x:c r="T92" t="str">
        <x:v>Open pending approval, access change, or replacement hardware.</x:v>
      </x:c>
    </x:row>
    <x:row r="93">
      <x:c r="A93" t="str">
        <x:v>HD-20260092</x:v>
      </x:c>
      <x:c r="B93" t="str">
        <x:v>2026-03-18 14:12</x:v>
      </x:c>
      <x:c r="C93" t="str">
        <x:v>Chat</x:v>
      </x:c>
      <x:c r="D93" t="str">
        <x:v>Supervisor</x:v>
      </x:c>
      <x:c r="E93" t="str">
        <x:v>Customer Service</x:v>
      </x:c>
      <x:c r="F93" t="str">
        <x:v>Plano Office</x:v>
      </x:c>
      <x:c r="G93" t="str">
        <x:v>Laptop</x:v>
      </x:c>
      <x:c r="H93" t="str">
        <x:v>Windows 10</x:v>
      </x:c>
      <x:c r="I93" t="str">
        <x:v>Update keeps failing</x:v>
      </x:c>
      <x:c r="J93" t="str">
        <x:v>User is prompted to update an application but the update process fails repeatedly. The issue appears limited to one device.</x:v>
      </x:c>
      <x:c r="K93" t="str">
        <x:v>Software</x:v>
      </x:c>
      <x:c r="L93" t="str">
        <x:v>Install Request</x:v>
      </x:c>
      <x:c r="M93" t="str">
        <x:v>Multiple Sites</x:v>
      </x:c>
      <x:c r="N93" t="str">
        <x:v>Medium</x:v>
      </x:c>
      <x:c r="O93" t="str">
        <x:v>P1</x:v>
      </x:c>
      <x:c r="P93" t="str">
        <x:v>Desktop Support</x:v>
      </x:c>
      <x:c r="Q93" t="str">
        <x:v>Is the software request already approved by the manager or application owner?</x:v>
      </x:c>
      <x:c r="R93" t="str">
        <x:v>Collect screenshots or error text before reinstalling or clearing caches.</x:v>
      </x:c>
      <x:c r="S93" t="str">
        <x:v>No</x:v>
      </x:c>
      <x:c r="T93" t="str">
        <x:v>Under investigation due to inability to reproduce consistently.</x:v>
      </x:c>
    </x:row>
    <x:row r="94">
      <x:c r="A94" t="str">
        <x:v>HD-20260093</x:v>
      </x:c>
      <x:c r="B94" t="str">
        <x:v>2026-01-15 02:45</x:v>
      </x:c>
      <x:c r="C94" t="str">
        <x:v>Email</x:v>
      </x:c>
      <x:c r="D94" t="str">
        <x:v>Specialist</x:v>
      </x:c>
      <x:c r="E94" t="str">
        <x:v>Warehouse</x:v>
      </x:c>
      <x:c r="F94" t="str">
        <x:v>Plano Office</x:v>
      </x:c>
      <x:c r="G94" t="str">
        <x:v>Mobile</x:v>
      </x:c>
      <x:c r="H94" t="str">
        <x:v>Windows 10</x:v>
      </x:c>
      <x:c r="I94" t="str">
        <x:v>Antivirus blocked file</x:v>
      </x:c>
      <x:c r="J94" t="str">
        <x:v>Endpoint protection quarantined a file and the user wants to know whether it is safe. The user states the issue was intermittent yesterday and is now constant.</x:v>
      </x:c>
      <x:c r="K94" t="str">
        <x:v>Security</x:v>
      </x:c>
      <x:c r="L94" t="str">
        <x:v>Malware Alert</x:v>
      </x:c>
      <x:c r="M94" t="str">
        <x:v>Single User</x:v>
      </x:c>
      <x:c r="N94" t="str">
        <x:v>High</x:v>
      </x:c>
      <x:c r="O94" t="str">
        <x:v>P2</x:v>
      </x:c>
      <x:c r="P94" t="str">
        <x:v>Security Operations</x:v>
      </x:c>
      <x:c r="Q94" t="str">
        <x:v>Did the user click anything, enter credentials, or download a file?</x:v>
      </x:c>
      <x:c r="R94" t="str">
        <x:v>Treat the report as security-sensitive, preserve evidence, and avoid telling the user to continue interacting with the content.</x:v>
      </x:c>
      <x:c r="S94" t="str">
        <x:v>Yes</x:v>
      </x:c>
      <x:c r="T94" t="str">
        <x:v>Resolved by restoring expected connectivity or application functionality.</x:v>
      </x:c>
    </x:row>
    <x:row r="95">
      <x:c r="A95" t="str">
        <x:v>HD-20260094</x:v>
      </x:c>
      <x:c r="B95" t="str">
        <x:v>2026-01-13 07:23</x:v>
      </x:c>
      <x:c r="C95" t="str">
        <x:v>Portal</x:v>
      </x:c>
      <x:c r="D95" t="str">
        <x:v>Associate</x:v>
      </x:c>
      <x:c r="E95" t="str">
        <x:v>Operations</x:v>
      </x:c>
      <x:c r="F95" t="str">
        <x:v>Houston Branch</x:v>
      </x:c>
      <x:c r="G95" t="str">
        <x:v>Desktop</x:v>
      </x:c>
      <x:c r="H95" t="str">
        <x:v>iPhone</x:v>
      </x:c>
      <x:c r="I95" t="str">
        <x:v>Possible phishing email received</x:v>
      </x:c>
      <x:c r="J95" t="str">
        <x:v>User received an email requesting credentials or payment information and wants it reviewed. The user states the issue was intermittent yesterday and is now constant.</x:v>
      </x:c>
      <x:c r="K95" t="str">
        <x:v>Security</x:v>
      </x:c>
      <x:c r="L95" t="str">
        <x:v>Malware Alert</x:v>
      </x:c>
      <x:c r="M95" t="str">
        <x:v>Single User</x:v>
      </x:c>
      <x:c r="N95" t="str">
        <x:v>Medium</x:v>
      </x:c>
      <x:c r="O95" t="str">
        <x:v>P2</x:v>
      </x:c>
      <x:c r="P95" t="str">
        <x:v>Security Operations</x:v>
      </x:c>
      <x:c r="Q95" t="str">
        <x:v>Did the user click anything, enter credentials, or download a file?</x:v>
      </x:c>
      <x:c r="R95" t="str">
        <x:v>Capture sender, URL, filename, or alert name exactly as shown.</x:v>
      </x:c>
      <x:c r="S95" t="str">
        <x:v>Yes</x:v>
      </x:c>
      <x:c r="T95" t="str">
        <x:v>Resolved by correcting account or permission settings and validating access.</x:v>
      </x:c>
    </x:row>
    <x:row r="96">
      <x:c r="A96" t="str">
        <x:v>HD-20260095</x:v>
      </x:c>
      <x:c r="B96" t="str">
        <x:v>2026-01-13 02:01</x:v>
      </x:c>
      <x:c r="C96" t="str">
        <x:v>Chat</x:v>
      </x:c>
      <x:c r="D96" t="str">
        <x:v>Manager</x:v>
      </x:c>
      <x:c r="E96" t="str">
        <x:v>Marketing</x:v>
      </x:c>
      <x:c r="F96" t="str">
        <x:v>Austin Branch</x:v>
      </x:c>
      <x:c r="G96" t="str">
        <x:v>Laptop</x:v>
      </x:c>
      <x:c r="H96" t="str">
        <x:v>Windows 10</x:v>
      </x:c>
      <x:c r="I96" t="str">
        <x:v>No network access on wired desktop</x:v>
      </x:c>
      <x:c r="J96" t="str">
        <x:v>Desktop shows connected to Ethernet but cannot reach intranet sites or mapped drives. The behavior is affecting normal job duties.</x:v>
      </x:c>
      <x:c r="K96" t="str">
        <x:v>Network/VPN</x:v>
      </x:c>
      <x:c r="L96" t="str">
        <x:v>DNS/Name Resolution</x:v>
      </x:c>
      <x:c r="M96" t="str">
        <x:v>Single User</x:v>
      </x:c>
      <x:c r="N96" t="str">
        <x:v>Low</x:v>
      </x:c>
      <x:c r="O96" t="str">
        <x:v>P4</x:v>
      </x:c>
      <x:c r="P96" t="str">
        <x:v>Network Support</x:v>
      </x:c>
      <x:c r="Q96" t="str">
        <x:v>Can you reach the internet and internal resources separately, or neither?</x:v>
      </x:c>
      <x:c r="R96" t="str">
        <x:v>Test name resolution and access to internal resources to separate VPN, DNS, and permissions issues.</x:v>
      </x:c>
      <x:c r="S96" t="str">
        <x:v>Yes</x:v>
      </x:c>
      <x:c r="T96" t="str">
        <x:v>Issue resolved after standard troubleshooting and confirmation from user.</x:v>
      </x:c>
    </x:row>
    <x:row r="97">
      <x:c r="A97" t="str">
        <x:v>HD-20260096</x:v>
      </x:c>
      <x:c r="B97" t="str">
        <x:v>2026-02-14 08:04</x:v>
      </x:c>
      <x:c r="C97" t="str">
        <x:v>Chat</x:v>
      </x:c>
      <x:c r="D97" t="str">
        <x:v>Specialist</x:v>
      </x:c>
      <x:c r="E97" t="str">
        <x:v>Finance</x:v>
      </x:c>
      <x:c r="F97" t="str">
        <x:v>Dallas HQ</x:v>
      </x:c>
      <x:c r="G97" t="str">
        <x:v>Laptop</x:v>
      </x:c>
      <x:c r="H97" t="str">
        <x:v>Windows 11</x:v>
      </x:c>
      <x:c r="I97" t="str">
        <x:v>Keyboard or mouse stopped working</x:v>
      </x:c>
      <x:c r="J97" t="str">
        <x:v>Peripheral worked earlier but is now intermittently disconnecting or completely unresponsive. No recent hardware changes were reported.</x:v>
      </x:c>
      <x:c r="K97" t="str">
        <x:v>Hardware</x:v>
      </x:c>
      <x:c r="L97" t="str">
        <x:v>Laptop Performance</x:v>
      </x:c>
      <x:c r="M97" t="str">
        <x:v>Single User</x:v>
      </x:c>
      <x:c r="N97" t="str">
        <x:v>Medium</x:v>
      </x:c>
      <x:c r="O97" t="str">
        <x:v>P3</x:v>
      </x:c>
      <x:c r="P97" t="str">
        <x:v>Desktop Support</x:v>
      </x:c>
      <x:c r="Q97" t="str">
        <x:v>Is this preventing work entirely or only reducing convenience?</x:v>
      </x:c>
      <x:c r="R97" t="str">
        <x:v>Document the hardware model and any recent moves or equipment swaps.</x:v>
      </x:c>
      <x:c r="S97" t="str">
        <x:v>Yes</x:v>
      </x:c>
      <x:c r="T97" t="str">
        <x:v>Resolved by restoring expected connectivity or application functionality.</x:v>
      </x:c>
    </x:row>
    <x:row r="98">
      <x:c r="A98" t="str">
        <x:v>HD-20260097</x:v>
      </x:c>
      <x:c r="B98" t="str">
        <x:v>2026-01-22 07:42</x:v>
      </x:c>
      <x:c r="C98" t="str">
        <x:v>Chat</x:v>
      </x:c>
      <x:c r="D98" t="str">
        <x:v>Analyst</x:v>
      </x:c>
      <x:c r="E98" t="str">
        <x:v>Finance</x:v>
      </x:c>
      <x:c r="F98" t="str">
        <x:v>Austin Branch</x:v>
      </x:c>
      <x:c r="G98" t="str">
        <x:v>Laptop</x:v>
      </x:c>
      <x:c r="H98" t="str">
        <x:v>macOS</x:v>
      </x:c>
      <x:c r="I98" t="str">
        <x:v>Shared mailbox missing</x:v>
      </x:c>
      <x:c r="J98" t="str">
        <x:v>A shared mailbox that was previously visible no longer appears in Outlook. The issue appears limited to one device.</x:v>
      </x:c>
      <x:c r="K98" t="str">
        <x:v>Email &amp; Collaboration</x:v>
      </x:c>
      <x:c r="L98" t="str">
        <x:v>Teams/Zoom Issue</x:v>
      </x:c>
      <x:c r="M98" t="str">
        <x:v>Single User</x:v>
      </x:c>
      <x:c r="N98" t="str">
        <x:v>Medium</x:v>
      </x:c>
      <x:c r="O98" t="str">
        <x:v>P3</x:v>
      </x:c>
      <x:c r="P98" t="str">
        <x:v>Messaging Team</x:v>
      </x:c>
      <x:c r="Q98" t="str">
        <x:v>Is the issue only in Outlook, or does it also happen in webmail or Teams?</x:v>
      </x:c>
      <x:c r="R98" t="str">
        <x:v>Verify whether the mailbox or calendar access was recently changed.</x:v>
      </x:c>
      <x:c r="S98" t="str">
        <x:v>Yes</x:v>
      </x:c>
      <x:c r="T98" t="str">
        <x:v>Resolved by restoring expected connectivity or application functionality.</x:v>
      </x:c>
    </x:row>
    <x:row r="99">
      <x:c r="A99" t="str">
        <x:v>HD-20260098</x:v>
      </x:c>
      <x:c r="B99" t="str">
        <x:v>2026-01-07 17:22</x:v>
      </x:c>
      <x:c r="C99" t="str">
        <x:v>Email</x:v>
      </x:c>
      <x:c r="D99" t="str">
        <x:v>Director</x:v>
      </x:c>
      <x:c r="E99" t="str">
        <x:v>Finance</x:v>
      </x:c>
      <x:c r="F99" t="str">
        <x:v>Dallas HQ</x:v>
      </x:c>
      <x:c r="G99" t="str">
        <x:v>Laptop</x:v>
      </x:c>
      <x:c r="H99" t="str">
        <x:v>Windows 10</x:v>
      </x:c>
      <x:c r="I99" t="str">
        <x:v>Cannot open mapped drive</x:v>
      </x:c>
      <x:c r="J99" t="str">
        <x:v>User can log in but receives an access or path error when attempting to open a mapped file share. The user states the issue was intermittent yesterday and is now constant.</x:v>
      </x:c>
      <x:c r="K99" t="str">
        <x:v>Network/VPN</x:v>
      </x:c>
      <x:c r="L99" t="str">
        <x:v>DNS/Name Resolution</x:v>
      </x:c>
      <x:c r="M99" t="str">
        <x:v>Multiple Sites</x:v>
      </x:c>
      <x:c r="N99" t="str">
        <x:v>Low</x:v>
      </x:c>
      <x:c r="O99" t="str">
        <x:v>P2</x:v>
      </x:c>
      <x:c r="P99" t="str">
        <x:v>Network Support</x:v>
      </x:c>
      <x:c r="Q99" t="str">
        <x:v>Can you reach the internet and internal resources separately, or neither?</x:v>
      </x:c>
      <x:c r="R99" t="str">
        <x:v>Test name resolution and access to internal resources to separate VPN, DNS, and permissions issues.</x:v>
      </x:c>
      <x:c r="S99" t="str">
        <x:v>No</x:v>
      </x:c>
      <x:c r="T99" t="str">
        <x:v>Pending vendor, infrastructure, or application team review.</x:v>
      </x:c>
    </x:row>
    <x:row r="100">
      <x:c r="A100" t="str">
        <x:v>HD-20260099</x:v>
      </x:c>
      <x:c r="B100" t="str">
        <x:v>2026-03-06 16:30</x:v>
      </x:c>
      <x:c r="C100" t="str">
        <x:v>Email</x:v>
      </x:c>
      <x:c r="D100" t="str">
        <x:v>Specialist</x:v>
      </x:c>
      <x:c r="E100" t="str">
        <x:v>HR</x:v>
      </x:c>
      <x:c r="F100" t="str">
        <x:v>Dallas HQ</x:v>
      </x:c>
      <x:c r="G100" t="str">
        <x:v>Desktop</x:v>
      </x:c>
      <x:c r="H100" t="str">
        <x:v>Windows 11</x:v>
      </x:c>
      <x:c r="I100" t="str">
        <x:v>No network access on wired desktop</x:v>
      </x:c>
      <x:c r="J100" t="str">
        <x:v>Desktop shows connected to Ethernet but cannot reach intranet sites or mapped drives. No recent hardware changes were reported.</x:v>
      </x:c>
      <x:c r="K100" t="str">
        <x:v>Network/VPN</x:v>
      </x:c>
      <x:c r="L100" t="str">
        <x:v>Shared Drive Access</x:v>
      </x:c>
      <x:c r="M100" t="str">
        <x:v>Department</x:v>
      </x:c>
      <x:c r="N100" t="str">
        <x:v>Medium</x:v>
      </x:c>
      <x:c r="O100" t="str">
        <x:v>P2</x:v>
      </x:c>
      <x:c r="P100" t="str">
        <x:v>Network Support</x:v>
      </x:c>
      <x:c r="Q100" t="str">
        <x:v>Can you reach the internet and internal resources separately, or neither?</x:v>
      </x:c>
      <x:c r="R100" t="str">
        <x:v>Confirm whether the issue affects one user or multiple users before escalating.</x:v>
      </x:c>
      <x:c r="S100" t="str">
        <x:v>Yes</x:v>
      </x:c>
      <x:c r="T100" t="str">
        <x:v>Issue resolved after standard troubleshooting and confirmation from user.</x:v>
      </x:c>
    </x:row>
    <x:row r="101">
      <x:c r="A101" t="str">
        <x:v>HD-20260100</x:v>
      </x:c>
      <x:c r="B101" t="str">
        <x:v>2026-01-22 15:18</x:v>
      </x:c>
      <x:c r="C101" t="str">
        <x:v>Phone</x:v>
      </x:c>
      <x:c r="D101" t="str">
        <x:v>Specialist</x:v>
      </x:c>
      <x:c r="E101" t="str">
        <x:v>Customer Service</x:v>
      </x:c>
      <x:c r="F101" t="str">
        <x:v>Plano Office</x:v>
      </x:c>
      <x:c r="G101" t="str">
        <x:v>Desktop</x:v>
      </x:c>
      <x:c r="H101" t="str">
        <x:v>Windows 10</x:v>
      </x:c>
      <x:c r="I101" t="str">
        <x:v>No network access on wired desktop</x:v>
      </x:c>
      <x:c r="J101" t="str">
        <x:v>Desktop shows connected to Ethernet but cannot reach intranet sites or mapped drives. A screenshot is available in the ticket.</x:v>
      </x:c>
      <x:c r="K101" t="str">
        <x:v>Network/VPN</x:v>
      </x:c>
      <x:c r="L101" t="str">
        <x:v>Ethernet Connectivity</x:v>
      </x:c>
      <x:c r="M101" t="str">
        <x:v>Single User</x:v>
      </x:c>
      <x:c r="N101" t="str">
        <x:v>Medium</x:v>
      </x:c>
      <x:c r="O101" t="str">
        <x:v>P3</x:v>
      </x:c>
      <x:c r="P101" t="str">
        <x:v>Network Support</x:v>
      </x:c>
      <x:c r="Q101" t="str">
        <x:v>Can you reach the internet and internal resources separately, or neither?</x:v>
      </x:c>
      <x:c r="R101" t="str">
        <x:v>Confirm whether the issue affects one user or multiple users before escalating.</x:v>
      </x:c>
      <x:c r="S101" t="str">
        <x:v>Yes</x:v>
      </x:c>
      <x:c r="T101" t="str">
        <x:v>Resolved after client-side remediation and user retest.</x:v>
      </x:c>
    </x:row>
    <x:row r="102">
      <x:c r="A102" t="str">
        <x:v>HD-20260101</x:v>
      </x:c>
      <x:c r="B102" t="str">
        <x:v>2026-03-15 16:05</x:v>
      </x:c>
      <x:c r="C102" t="str">
        <x:v>Portal</x:v>
      </x:c>
      <x:c r="D102" t="str">
        <x:v>Associate</x:v>
      </x:c>
      <x:c r="E102" t="str">
        <x:v>Executive</x:v>
      </x:c>
      <x:c r="F102" t="str">
        <x:v>Plano Office</x:v>
      </x:c>
      <x:c r="G102" t="str">
        <x:v>Desktop</x:v>
      </x:c>
      <x:c r="H102" t="str">
        <x:v>Windows 10</x:v>
      </x:c>
      <x:c r="I102" t="str">
        <x:v>Sensitive data may have been sent</x:v>
      </x:c>
      <x:c r="J102" t="str">
        <x:v>User is concerned that confidential information may have been emailed or uploaded improperly. The user has already rebooted once.</x:v>
      </x:c>
      <x:c r="K102" t="str">
        <x:v>Security</x:v>
      </x:c>
      <x:c r="L102" t="str">
        <x:v>Data Loss Concern</x:v>
      </x:c>
      <x:c r="M102" t="str">
        <x:v>Small Team</x:v>
      </x:c>
      <x:c r="N102" t="str">
        <x:v>High</x:v>
      </x:c>
      <x:c r="O102" t="str">
        <x:v>P2</x:v>
      </x:c>
      <x:c r="P102" t="str">
        <x:v>Security Operations</x:v>
      </x:c>
      <x:c r="Q102" t="str">
        <x:v>Did the user click anything, enter credentials, or download a file?</x:v>
      </x:c>
      <x:c r="R102" t="str">
        <x:v>Capture sender, URL, filename, or alert name exactly as shown.</x:v>
      </x:c>
      <x:c r="S102" t="str">
        <x:v>Yes</x:v>
      </x:c>
      <x:c r="T102" t="str">
        <x:v>Issue resolved after standard troubleshooting and confirmation from user.</x:v>
      </x:c>
    </x:row>
    <x:row r="103">
      <x:c r="A103" t="str">
        <x:v>HD-20260102</x:v>
      </x:c>
      <x:c r="B103" t="str">
        <x:v>2026-01-09 22:46</x:v>
      </x:c>
      <x:c r="C103" t="str">
        <x:v>Chat</x:v>
      </x:c>
      <x:c r="D103" t="str">
        <x:v>Analyst</x:v>
      </x:c>
      <x:c r="E103" t="str">
        <x:v>Customer Service</x:v>
      </x:c>
      <x:c r="F103" t="str">
        <x:v>Dallas HQ</x:v>
      </x:c>
      <x:c r="G103" t="str">
        <x:v>Desktop</x:v>
      </x:c>
      <x:c r="H103" t="str">
        <x:v>Windows 11</x:v>
      </x:c>
      <x:c r="I103" t="str">
        <x:v>License expired warning</x:v>
      </x:c>
      <x:c r="J103" t="str">
        <x:v>Application starts but displays a licensing or activation error that prevents use. The user has already rebooted once.</x:v>
      </x:c>
      <x:c r="K103" t="str">
        <x:v>Software</x:v>
      </x:c>
      <x:c r="L103" t="str">
        <x:v>Update Failure</x:v>
      </x:c>
      <x:c r="M103" t="str">
        <x:v>Small Team</x:v>
      </x:c>
      <x:c r="N103" t="str">
        <x:v>Medium</x:v>
      </x:c>
      <x:c r="O103" t="str">
        <x:v>P2</x:v>
      </x:c>
      <x:c r="P103" t="str">
        <x:v>Desktop Support</x:v>
      </x:c>
      <x:c r="Q103" t="str">
        <x:v>Is the software request already approved by the manager or application owner?</x:v>
      </x:c>
      <x:c r="R103" t="str">
        <x:v>Verify software approval and licensing requirements for install requests.</x:v>
      </x:c>
      <x:c r="S103" t="str">
        <x:v>Yes</x:v>
      </x:c>
      <x:c r="T103" t="str">
        <x:v>Resolved after service desk triage and routing to the correct support team.</x:v>
      </x:c>
    </x:row>
    <x:row r="104">
      <x:c r="A104" t="str">
        <x:v>HD-20260103</x:v>
      </x:c>
      <x:c r="B104" t="str">
        <x:v>2026-03-13 18:41</x:v>
      </x:c>
      <x:c r="C104" t="str">
        <x:v>Portal</x:v>
      </x:c>
      <x:c r="D104" t="str">
        <x:v>Director</x:v>
      </x:c>
      <x:c r="E104" t="str">
        <x:v>Customer Service</x:v>
      </x:c>
      <x:c r="F104" t="str">
        <x:v>Austin Branch</x:v>
      </x:c>
      <x:c r="G104" t="str">
        <x:v>Mobile</x:v>
      </x:c>
      <x:c r="H104" t="str">
        <x:v>Windows 10</x:v>
      </x:c>
      <x:c r="I104" t="str">
        <x:v>Device not compliant in MDM</x:v>
      </x:c>
      <x:c r="J104" t="str">
        <x:v>User cannot access resources because the device is reported as non-compliant. The user has already rebooted once.</x:v>
      </x:c>
      <x:c r="K104" t="str">
        <x:v>Mobile/Remote</x:v>
      </x:c>
      <x:c r="L104" t="str">
        <x:v>Mobile Email</x:v>
      </x:c>
      <x:c r="M104" t="str">
        <x:v>Single User</x:v>
      </x:c>
      <x:c r="N104" t="str">
        <x:v>Low</x:v>
      </x:c>
      <x:c r="O104" t="str">
        <x:v>P4</x:v>
      </x:c>
      <x:c r="P104" t="str">
        <x:v>Mobility Team</x:v>
      </x:c>
      <x:c r="Q104" t="str">
        <x:v>Are you on cellular, Wi-Fi, or both when the issue happens?</x:v>
      </x:c>
      <x:c r="R104" t="str">
        <x:v>Verify whether the issue is device enrollment, connectivity, or account-related.</x:v>
      </x:c>
      <x:c r="S104" t="str">
        <x:v>Yes</x:v>
      </x:c>
      <x:c r="T104" t="str">
        <x:v>Resolved after service desk triage and routing to the correct support team.</x:v>
      </x:c>
    </x:row>
    <x:row r="105">
      <x:c r="A105" t="str">
        <x:v>HD-20260104</x:v>
      </x:c>
      <x:c r="B105" t="str">
        <x:v>2026-01-16 00:01</x:v>
      </x:c>
      <x:c r="C105" t="str">
        <x:v>Portal</x:v>
      </x:c>
      <x:c r="D105" t="str">
        <x:v>Coordinator</x:v>
      </x:c>
      <x:c r="E105" t="str">
        <x:v>HR</x:v>
      </x:c>
      <x:c r="F105" t="str">
        <x:v>Plano Office</x:v>
      </x:c>
      <x:c r="G105" t="str">
        <x:v>Laptop</x:v>
      </x:c>
      <x:c r="H105" t="str">
        <x:v>Windows 10</x:v>
      </x:c>
      <x:c r="I105" t="str">
        <x:v>Scan to email not working</x:v>
      </x:c>
      <x:c r="J105" t="str">
        <x:v>Multi-function device scans locally but fails when sending email. No recent hardware changes were reported.</x:v>
      </x:c>
      <x:c r="K105" t="str">
        <x:v>Printing</x:v>
      </x:c>
      <x:c r="L105" t="str">
        <x:v>Cannot Print</x:v>
      </x:c>
      <x:c r="M105" t="str">
        <x:v>Single User</x:v>
      </x:c>
      <x:c r="N105" t="str">
        <x:v>Low</x:v>
      </x:c>
      <x:c r="O105" t="str">
        <x:v>P4</x:v>
      </x:c>
      <x:c r="P105" t="str">
        <x:v>Field Support</x:v>
      </x:c>
      <x:c r="Q105" t="str">
        <x:v>Did the printer or driver recently change?</x:v>
      </x:c>
      <x:c r="R105" t="str">
        <x:v>Identify whether the failure is user-specific, workstation-specific, or printer-wide.</x:v>
      </x:c>
      <x:c r="S105" t="str">
        <x:v>No</x:v>
      </x:c>
      <x:c r="T105" t="str">
        <x:v>Open pending approval, access change, or replacement hardware.</x:v>
      </x:c>
    </x:row>
    <x:row r="106">
      <x:c r="A106" t="str">
        <x:v>HD-20260105</x:v>
      </x:c>
      <x:c r="B106" t="str">
        <x:v>2026-03-08 04:28</x:v>
      </x:c>
      <x:c r="C106" t="str">
        <x:v>Phone</x:v>
      </x:c>
      <x:c r="D106" t="str">
        <x:v>Specialist</x:v>
      </x:c>
      <x:c r="E106" t="str">
        <x:v>Finance</x:v>
      </x:c>
      <x:c r="F106" t="str">
        <x:v>Plano Office</x:v>
      </x:c>
      <x:c r="G106" t="str">
        <x:v>Laptop</x:v>
      </x:c>
      <x:c r="H106" t="str">
        <x:v>Windows 11</x:v>
      </x:c>
      <x:c r="I106" t="str">
        <x:v>Role missing in application</x:v>
      </x:c>
      <x:c r="J106" t="str">
        <x:v>User can sign in to the application but key menus or modules are missing. The issue appears limited to one device.</x:v>
      </x:c>
      <x:c r="K106" t="str">
        <x:v>Line of Business App</x:v>
      </x:c>
      <x:c r="L106" t="str">
        <x:v>Role Access</x:v>
      </x:c>
      <x:c r="M106" t="str">
        <x:v>Single User</x:v>
      </x:c>
      <x:c r="N106" t="str">
        <x:v>Low</x:v>
      </x:c>
      <x:c r="O106" t="str">
        <x:v>P4</x:v>
      </x:c>
      <x:c r="P106" t="str">
        <x:v>Business Applications</x:v>
      </x:c>
      <x:c r="Q106" t="str">
        <x:v>Does this affect one user, one location, or many users?</x:v>
      </x:c>
      <x:c r="R106" t="str">
        <x:v>Determine whether the issue is localized or business-wide.</x:v>
      </x:c>
      <x:c r="S106" t="str">
        <x:v>No</x:v>
      </x:c>
      <x:c r="T106" t="str">
        <x:v>Under investigation due to inability to reproduce consistently.</x:v>
      </x:c>
    </x:row>
    <x:row r="107">
      <x:c r="A107" t="str">
        <x:v>HD-20260106</x:v>
      </x:c>
      <x:c r="B107" t="str">
        <x:v>2026-01-23 11:50</x:v>
      </x:c>
      <x:c r="C107" t="str">
        <x:v>Phone</x:v>
      </x:c>
      <x:c r="D107" t="str">
        <x:v>Manager</x:v>
      </x:c>
      <x:c r="E107" t="str">
        <x:v>HR</x:v>
      </x:c>
      <x:c r="F107" t="str">
        <x:v>Austin Branch</x:v>
      </x:c>
      <x:c r="G107" t="str">
        <x:v>Laptop</x:v>
      </x:c>
      <x:c r="H107" t="str">
        <x:v>Windows 10</x:v>
      </x:c>
      <x:c r="I107" t="str">
        <x:v>License expired warning</x:v>
      </x:c>
      <x:c r="J107" t="str">
        <x:v>Application starts but displays a licensing or activation error that prevents use. The issue appears limited to one device.</x:v>
      </x:c>
      <x:c r="K107" t="str">
        <x:v>Software</x:v>
      </x:c>
      <x:c r="L107" t="str">
        <x:v>Install Request</x:v>
      </x:c>
      <x:c r="M107" t="str">
        <x:v>Single User</x:v>
      </x:c>
      <x:c r="N107" t="str">
        <x:v>Low</x:v>
      </x:c>
      <x:c r="O107" t="str">
        <x:v>P4</x:v>
      </x:c>
      <x:c r="P107" t="str">
        <x:v>Desktop Support</x:v>
      </x:c>
      <x:c r="Q107" t="str">
        <x:v>What exact application and version are involved, and when did it last work?</x:v>
      </x:c>
      <x:c r="R107" t="str">
        <x:v>Collect screenshots or error text before reinstalling or clearing caches.</x:v>
      </x:c>
      <x:c r="S107" t="str">
        <x:v>Yes</x:v>
      </x:c>
      <x:c r="T107" t="str">
        <x:v>Resolved after service desk triage and routing to the correct support team.</x:v>
      </x:c>
    </x:row>
    <x:row r="108">
      <x:c r="A108" t="str">
        <x:v>HD-20260107</x:v>
      </x:c>
      <x:c r="B108" t="str">
        <x:v>2026-02-16 04:33</x:v>
      </x:c>
      <x:c r="C108" t="str">
        <x:v>Portal</x:v>
      </x:c>
      <x:c r="D108" t="str">
        <x:v>Specialist</x:v>
      </x:c>
      <x:c r="E108" t="str">
        <x:v>Executive</x:v>
      </x:c>
      <x:c r="F108" t="str">
        <x:v>Fort Worth Store</x:v>
      </x:c>
      <x:c r="G108" t="str">
        <x:v>Laptop</x:v>
      </x:c>
      <x:c r="H108" t="str">
        <x:v>iPhone</x:v>
      </x:c>
      <x:c r="I108" t="str">
        <x:v>Calendar permissions issue</x:v>
      </x:c>
      <x:c r="J108" t="str">
        <x:v>User cannot view or edit another person's calendar despite prior access. Another coworker reported a similar symptom.</x:v>
      </x:c>
      <x:c r="K108" t="str">
        <x:v>Email &amp; Collaboration</x:v>
      </x:c>
      <x:c r="L108" t="str">
        <x:v>Outlook Issue</x:v>
      </x:c>
      <x:c r="M108" t="str">
        <x:v>Single User</x:v>
      </x:c>
      <x:c r="N108" t="str">
        <x:v>Medium</x:v>
      </x:c>
      <x:c r="O108" t="str">
        <x:v>P3</x:v>
      </x:c>
      <x:c r="P108" t="str">
        <x:v>Messaging Team</x:v>
      </x:c>
      <x:c r="Q108" t="str">
        <x:v>When did it last work normally?</x:v>
      </x:c>
      <x:c r="R108" t="str">
        <x:v>Confirm whether the issue reproduces in the web client to isolate app versus service problems.</x:v>
      </x:c>
      <x:c r="S108" t="str">
        <x:v>No</x:v>
      </x:c>
      <x:c r="T108" t="str">
        <x:v>Awaiting user response with requested details or screenshots.</x:v>
      </x:c>
    </x:row>
    <x:row r="109">
      <x:c r="A109" t="str">
        <x:v>HD-20260108</x:v>
      </x:c>
      <x:c r="B109" t="str">
        <x:v>2026-01-17 08:27</x:v>
      </x:c>
      <x:c r="C109" t="str">
        <x:v>Email</x:v>
      </x:c>
      <x:c r="D109" t="str">
        <x:v>Specialist</x:v>
      </x:c>
      <x:c r="E109" t="str">
        <x:v>Warehouse</x:v>
      </x:c>
      <x:c r="F109" t="str">
        <x:v>Fort Worth Store</x:v>
      </x:c>
      <x:c r="G109" t="str">
        <x:v>Laptop</x:v>
      </x:c>
      <x:c r="H109" t="str">
        <x:v>macOS</x:v>
      </x:c>
      <x:c r="I109" t="str">
        <x:v>SharePoint site inaccessible</x:v>
      </x:c>
      <x:c r="J109" t="str">
        <x:v>User receives an access or loading error when trying to open a team site. The user has already rebooted once.</x:v>
      </x:c>
      <x:c r="K109" t="str">
        <x:v>File/Share Access</x:v>
      </x:c>
      <x:c r="L109" t="str">
        <x:v>File Sync Issue</x:v>
      </x:c>
      <x:c r="M109" t="str">
        <x:v>Small Team</x:v>
      </x:c>
      <x:c r="N109" t="str">
        <x:v>Low</x:v>
      </x:c>
      <x:c r="O109" t="str">
        <x:v>P3</x:v>
      </x:c>
      <x:c r="P109" t="str">
        <x:v>Infrastructure</x:v>
      </x:c>
      <x:c r="Q109" t="str">
        <x:v>Does this affect one user, a team, or an entire department share?</x:v>
      </x:c>
      <x:c r="R109" t="str">
        <x:v>Identify whether the issue affects only one user or multiple people.</x:v>
      </x:c>
      <x:c r="S109" t="str">
        <x:v>Yes</x:v>
      </x:c>
      <x:c r="T109" t="str">
        <x:v>Resolved by correcting account or permission settings and validating access.</x:v>
      </x:c>
    </x:row>
    <x:row r="110">
      <x:c r="A110" t="str">
        <x:v>HD-20260109</x:v>
      </x:c>
      <x:c r="B110" t="str">
        <x:v>2026-02-22 08:17</x:v>
      </x:c>
      <x:c r="C110" t="str">
        <x:v>Portal</x:v>
      </x:c>
      <x:c r="D110" t="str">
        <x:v>Supervisor</x:v>
      </x:c>
      <x:c r="E110" t="str">
        <x:v>HR</x:v>
      </x:c>
      <x:c r="F110" t="str">
        <x:v>Austin Branch</x:v>
      </x:c>
      <x:c r="G110" t="str">
        <x:v>Desktop</x:v>
      </x:c>
      <x:c r="H110" t="str">
        <x:v>Windows 11</x:v>
      </x:c>
      <x:c r="I110" t="str">
        <x:v>Keyboard or mouse stopped working</x:v>
      </x:c>
      <x:c r="J110" t="str">
        <x:v>Peripheral worked earlier but is now intermittently disconnecting or completely unresponsive. The user is remote and connected through home internet.</x:v>
      </x:c>
      <x:c r="K110" t="str">
        <x:v>Hardware</x:v>
      </x:c>
      <x:c r="L110" t="str">
        <x:v>Battery/Power</x:v>
      </x:c>
      <x:c r="M110" t="str">
        <x:v>Single User</x:v>
      </x:c>
      <x:c r="N110" t="str">
        <x:v>Medium</x:v>
      </x:c>
      <x:c r="O110" t="str">
        <x:v>P3</x:v>
      </x:c>
      <x:c r="P110" t="str">
        <x:v>Desktop Support</x:v>
      </x:c>
      <x:c r="Q110" t="str">
        <x:v>Is this preventing work entirely or only reducing convenience?</x:v>
      </x:c>
      <x:c r="R110" t="str">
        <x:v>Confirm power, cable, and dock connections before moving to replacement or escalation.</x:v>
      </x:c>
      <x:c r="S110" t="str">
        <x:v>Yes</x:v>
      </x:c>
      <x:c r="T110" t="str">
        <x:v>Resolved by restoring expected connectivity or application functionality.</x:v>
      </x:c>
    </x:row>
    <x:row r="111">
      <x:c r="A111" t="str">
        <x:v>HD-20260110</x:v>
      </x:c>
      <x:c r="B111" t="str">
        <x:v>2026-01-09 20:52</x:v>
      </x:c>
      <x:c r="C111" t="str">
        <x:v>Email</x:v>
      </x:c>
      <x:c r="D111" t="str">
        <x:v>Associate</x:v>
      </x:c>
      <x:c r="E111" t="str">
        <x:v>Sales</x:v>
      </x:c>
      <x:c r="F111" t="str">
        <x:v>Plano Office</x:v>
      </x:c>
      <x:c r="G111" t="str">
        <x:v>Mobile</x:v>
      </x:c>
      <x:c r="H111" t="str">
        <x:v>macOS</x:v>
      </x:c>
      <x:c r="I111" t="str">
        <x:v>Cannot send external email</x:v>
      </x:c>
      <x:c r="J111" t="str">
        <x:v>User can receive mail but outbound messages to external recipients are failing or stuck. A screenshot is available in the ticket.</x:v>
      </x:c>
      <x:c r="K111" t="str">
        <x:v>Email &amp; Collaboration</x:v>
      </x:c>
      <x:c r="L111" t="str">
        <x:v>Email Delivery</x:v>
      </x:c>
      <x:c r="M111" t="str">
        <x:v>Single User</x:v>
      </x:c>
      <x:c r="N111" t="str">
        <x:v>High</x:v>
      </x:c>
      <x:c r="O111" t="str">
        <x:v>P2</x:v>
      </x:c>
      <x:c r="P111" t="str">
        <x:v>Messaging Team</x:v>
      </x:c>
      <x:c r="Q111" t="str">
        <x:v>When did it last work normally?</x:v>
      </x:c>
      <x:c r="R111" t="str">
        <x:v>Verify whether the mailbox or calendar access was recently changed.</x:v>
      </x:c>
      <x:c r="S111" t="str">
        <x:v>Yes</x:v>
      </x:c>
      <x:c r="T111" t="str">
        <x:v>Resolved by restoring expected connectivity or application functionality.</x:v>
      </x:c>
    </x:row>
    <x:row r="112">
      <x:c r="A112" t="str">
        <x:v>HD-20260111</x:v>
      </x:c>
      <x:c r="B112" t="str">
        <x:v>2026-01-31 17:29</x:v>
      </x:c>
      <x:c r="C112" t="str">
        <x:v>Email</x:v>
      </x:c>
      <x:c r="D112" t="str">
        <x:v>Supervisor</x:v>
      </x:c>
      <x:c r="E112" t="str">
        <x:v>Finance</x:v>
      </x:c>
      <x:c r="F112" t="str">
        <x:v>Remote - Texas</x:v>
      </x:c>
      <x:c r="G112" t="str">
        <x:v>Desktop</x:v>
      </x:c>
      <x:c r="H112" t="str">
        <x:v>Windows 10</x:v>
      </x:c>
      <x:c r="I112" t="str">
        <x:v>ERP throws error on save</x:v>
      </x:c>
      <x:c r="J112" t="str">
        <x:v>User can open records but receives an error when attempting to save changes in the business application. The user is remote and connected through home internet.</x:v>
      </x:c>
      <x:c r="K112" t="str">
        <x:v>Line of Business App</x:v>
      </x:c>
      <x:c r="L112" t="str">
        <x:v>Role Access</x:v>
      </x:c>
      <x:c r="M112" t="str">
        <x:v>Single User</x:v>
      </x:c>
      <x:c r="N112" t="str">
        <x:v>Medium</x:v>
      </x:c>
      <x:c r="O112" t="str">
        <x:v>P3</x:v>
      </x:c>
      <x:c r="P112" t="str">
        <x:v>Business Applications</x:v>
      </x:c>
      <x:c r="Q112" t="str">
        <x:v>Does this affect one user, one location, or many users?</x:v>
      </x:c>
      <x:c r="R112" t="str">
        <x:v>Separate user-permission issues from application or database failures.</x:v>
      </x:c>
      <x:c r="S112" t="str">
        <x:v>Yes</x:v>
      </x:c>
      <x:c r="T112" t="str">
        <x:v>Resolved after client-side remediation and user retest.</x:v>
      </x:c>
    </x:row>
    <x:row r="113">
      <x:c r="A113" t="str">
        <x:v>HD-20260112</x:v>
      </x:c>
      <x:c r="B113" t="str">
        <x:v>2026-02-06 22:32</x:v>
      </x:c>
      <x:c r="C113" t="str">
        <x:v>Portal</x:v>
      </x:c>
      <x:c r="D113" t="str">
        <x:v>Associate</x:v>
      </x:c>
      <x:c r="E113" t="str">
        <x:v>Warehouse</x:v>
      </x:c>
      <x:c r="F113" t="str">
        <x:v>Plano Office</x:v>
      </x:c>
      <x:c r="G113" t="str">
        <x:v>Mobile</x:v>
      </x:c>
      <x:c r="H113" t="str">
        <x:v>iPhone</x:v>
      </x:c>
      <x:c r="I113" t="str">
        <x:v>Shared mailbox missing</x:v>
      </x:c>
      <x:c r="J113" t="str">
        <x:v>A shared mailbox that was previously visible no longer appears in Outlook. The problem started after a password change.</x:v>
      </x:c>
      <x:c r="K113" t="str">
        <x:v>Email &amp; Collaboration</x:v>
      </x:c>
      <x:c r="L113" t="str">
        <x:v>Calendar Problem</x:v>
      </x:c>
      <x:c r="M113" t="str">
        <x:v>Multiple Sites</x:v>
      </x:c>
      <x:c r="N113" t="str">
        <x:v>Low</x:v>
      </x:c>
      <x:c r="O113" t="str">
        <x:v>P2</x:v>
      </x:c>
      <x:c r="P113" t="str">
        <x:v>Messaging Team</x:v>
      </x:c>
      <x:c r="Q113" t="str">
        <x:v>Does this affect one mailbox or multiple users?</x:v>
      </x:c>
      <x:c r="R113" t="str">
        <x:v>Confirm whether the issue reproduces in the web client to isolate app versus service problems.</x:v>
      </x:c>
      <x:c r="S113" t="str">
        <x:v>Yes</x:v>
      </x:c>
      <x:c r="T113" t="str">
        <x:v>Resolved by correcting account or permission settings and validating access.</x:v>
      </x:c>
    </x:row>
    <x:row r="114">
      <x:c r="A114" t="str">
        <x:v>HD-20260113</x:v>
      </x:c>
      <x:c r="B114" t="str">
        <x:v>2026-03-16 18:20</x:v>
      </x:c>
      <x:c r="C114" t="str">
        <x:v>Phone</x:v>
      </x:c>
      <x:c r="D114" t="str">
        <x:v>Manager</x:v>
      </x:c>
      <x:c r="E114" t="str">
        <x:v>Customer Service</x:v>
      </x:c>
      <x:c r="F114" t="str">
        <x:v>Remote - Texas</x:v>
      </x:c>
      <x:c r="G114" t="str">
        <x:v>Desktop</x:v>
      </x:c>
      <x:c r="H114" t="str">
        <x:v>Windows 11</x:v>
      </x:c>
      <x:c r="I114" t="str">
        <x:v>No network access on wired desktop</x:v>
      </x:c>
      <x:c r="J114" t="str">
        <x:v>Desktop shows connected to Ethernet but cannot reach intranet sites or mapped drives. Another coworker reported a similar symptom.</x:v>
      </x:c>
      <x:c r="K114" t="str">
        <x:v>Network/VPN</x:v>
      </x:c>
      <x:c r="L114" t="str">
        <x:v>DNS/Name Resolution</x:v>
      </x:c>
      <x:c r="M114" t="str">
        <x:v>Multiple Sites</x:v>
      </x:c>
      <x:c r="N114" t="str">
        <x:v>High</x:v>
      </x:c>
      <x:c r="O114" t="str">
        <x:v>P1</x:v>
      </x:c>
      <x:c r="P114" t="str">
        <x:v>Network Support</x:v>
      </x:c>
      <x:c r="Q114" t="str">
        <x:v>Did this start today, and does the issue happen on other networks?</x:v>
      </x:c>
      <x:c r="R114" t="str">
        <x:v>Test name resolution and access to internal resources to separate VPN, DNS, and permissions issues.</x:v>
      </x:c>
      <x:c r="S114" t="str">
        <x:v>Yes</x:v>
      </x:c>
      <x:c r="T114" t="str">
        <x:v>Resolved after client-side remediation and user retest.</x:v>
      </x:c>
    </x:row>
    <x:row r="115">
      <x:c r="A115" t="str">
        <x:v>HD-20260114</x:v>
      </x:c>
      <x:c r="B115" t="str">
        <x:v>2026-01-10 15:18</x:v>
      </x:c>
      <x:c r="C115" t="str">
        <x:v>Chat</x:v>
      </x:c>
      <x:c r="D115" t="str">
        <x:v>Analyst</x:v>
      </x:c>
      <x:c r="E115" t="str">
        <x:v>IT</x:v>
      </x:c>
      <x:c r="F115" t="str">
        <x:v>Remote - Texas</x:v>
      </x:c>
      <x:c r="G115" t="str">
        <x:v>Desktop</x:v>
      </x:c>
      <x:c r="H115" t="str">
        <x:v>Windows 11</x:v>
      </x:c>
      <x:c r="I115" t="str">
        <x:v>VPN disconnects every few minutes</x:v>
      </x:c>
      <x:c r="J115" t="str">
        <x:v>User reports the VPN connects successfully but disconnects after 2 to 5 minutes, which drops access to internal resources. The problem started after a password change.</x:v>
      </x:c>
      <x:c r="K115" t="str">
        <x:v>Network/VPN</x:v>
      </x:c>
      <x:c r="L115" t="str">
        <x:v>DNS/Name Resolution</x:v>
      </x:c>
      <x:c r="M115" t="str">
        <x:v>Single User</x:v>
      </x:c>
      <x:c r="N115" t="str">
        <x:v>Medium</x:v>
      </x:c>
      <x:c r="O115" t="str">
        <x:v>P3</x:v>
      </x:c>
      <x:c r="P115" t="str">
        <x:v>Network Support</x:v>
      </x:c>
      <x:c r="Q115" t="str">
        <x:v>Can you reach the internet and internal resources separately, or neither?</x:v>
      </x:c>
      <x:c r="R115" t="str">
        <x:v>Test name resolution and access to internal resources to separate VPN, DNS, and permissions issues.</x:v>
      </x:c>
      <x:c r="S115" t="str">
        <x:v>Yes</x:v>
      </x:c>
      <x:c r="T115" t="str">
        <x:v>Issue resolved after standard troubleshooting and confirmation from user.</x:v>
      </x:c>
    </x:row>
    <x:row r="116">
      <x:c r="A116" t="str">
        <x:v>HD-20260115</x:v>
      </x:c>
      <x:c r="B116" t="str">
        <x:v>2026-01-22 22:23</x:v>
      </x:c>
      <x:c r="C116" t="str">
        <x:v>Email</x:v>
      </x:c>
      <x:c r="D116" t="str">
        <x:v>Director</x:v>
      </x:c>
      <x:c r="E116" t="str">
        <x:v>Warehouse</x:v>
      </x:c>
      <x:c r="F116" t="str">
        <x:v>Austin Branch</x:v>
      </x:c>
      <x:c r="G116" t="str">
        <x:v>Mobile</x:v>
      </x:c>
      <x:c r="H116" t="str">
        <x:v>iPhone</x:v>
      </x:c>
      <x:c r="I116" t="str">
        <x:v>Antivirus blocked file</x:v>
      </x:c>
      <x:c r="J116" t="str">
        <x:v>Endpoint protection quarantined a file and the user wants to know whether it is safe. The user is remote and connected through home internet.</x:v>
      </x:c>
      <x:c r="K116" t="str">
        <x:v>Security</x:v>
      </x:c>
      <x:c r="L116" t="str">
        <x:v>Suspicious Login</x:v>
      </x:c>
      <x:c r="M116" t="str">
        <x:v>Small Team</x:v>
      </x:c>
      <x:c r="N116" t="str">
        <x:v>Medium</x:v>
      </x:c>
      <x:c r="O116" t="str">
        <x:v>P2</x:v>
      </x:c>
      <x:c r="P116" t="str">
        <x:v>Security Operations</x:v>
      </x:c>
      <x:c r="Q116" t="str">
        <x:v>Is there any business deadline that depends on rapid review?</x:v>
      </x:c>
      <x:c r="R116" t="str">
        <x:v>Determine whether credentials, clicks, or downloads occurred before deciding containment steps.</x:v>
      </x:c>
      <x:c r="S116" t="str">
        <x:v>Yes</x:v>
      </x:c>
      <x:c r="T116" t="str">
        <x:v>Resolved by restoring expected connectivity or application functionality.</x:v>
      </x:c>
    </x:row>
    <x:row r="117">
      <x:c r="A117" t="str">
        <x:v>HD-20260116</x:v>
      </x:c>
      <x:c r="B117" t="str">
        <x:v>2026-02-06 12:48</x:v>
      </x:c>
      <x:c r="C117" t="str">
        <x:v>Portal</x:v>
      </x:c>
      <x:c r="D117" t="str">
        <x:v>Manager</x:v>
      </x:c>
      <x:c r="E117" t="str">
        <x:v>HR</x:v>
      </x:c>
      <x:c r="F117" t="str">
        <x:v>Dallas HQ</x:v>
      </x:c>
      <x:c r="G117" t="str">
        <x:v>Desktop</x:v>
      </x:c>
      <x:c r="H117" t="str">
        <x:v>iPhone</x:v>
      </x:c>
      <x:c r="I117" t="str">
        <x:v>MFA code not arriving</x:v>
      </x:c>
      <x:c r="J117" t="str">
        <x:v>User is not receiving push notifications or codes required to complete sign-in. The user has already rebooted once.</x:v>
      </x:c>
      <x:c r="K117" t="str">
        <x:v>Identity &amp; Access</x:v>
      </x:c>
      <x:c r="L117" t="str">
        <x:v>Password Reset</x:v>
      </x:c>
      <x:c r="M117" t="str">
        <x:v>Small Team</x:v>
      </x:c>
      <x:c r="N117" t="str">
        <x:v>Low</x:v>
      </x:c>
      <x:c r="O117" t="str">
        <x:v>P3</x:v>
      </x:c>
      <x:c r="P117" t="str">
        <x:v>Service Desk</x:v>
      </x:c>
      <x:c r="Q117" t="str">
        <x:v>Did you change phones, numbers, or authenticators recently?</x:v>
      </x:c>
      <x:c r="R117" t="str">
        <x:v>Document the target system and exact denial message for access-related tickets.</x:v>
      </x:c>
      <x:c r="S117" t="str">
        <x:v>Yes</x:v>
      </x:c>
      <x:c r="T117" t="str">
        <x:v>Resolved by correcting account or permission settings and validating access.</x:v>
      </x:c>
    </x:row>
    <x:row r="118">
      <x:c r="A118" t="str">
        <x:v>HD-20260117</x:v>
      </x:c>
      <x:c r="B118" t="str">
        <x:v>2026-02-27 15:20</x:v>
      </x:c>
      <x:c r="C118" t="str">
        <x:v>Chat</x:v>
      </x:c>
      <x:c r="D118" t="str">
        <x:v>Coordinator</x:v>
      </x:c>
      <x:c r="E118" t="str">
        <x:v>HR</x:v>
      </x:c>
      <x:c r="F118" t="str">
        <x:v>Austin Branch</x:v>
      </x:c>
      <x:c r="G118" t="str">
        <x:v>Laptop</x:v>
      </x:c>
      <x:c r="H118" t="str">
        <x:v>macOS</x:v>
      </x:c>
      <x:c r="I118" t="str">
        <x:v>SharePoint site inaccessible</x:v>
      </x:c>
      <x:c r="J118" t="str">
        <x:v>User receives an access or loading error when trying to open a team site. The issue appears limited to one device.</x:v>
      </x:c>
      <x:c r="K118" t="str">
        <x:v>File/Share Access</x:v>
      </x:c>
      <x:c r="L118" t="str">
        <x:v>SharePoint/OneDrive</x:v>
      </x:c>
      <x:c r="M118" t="str">
        <x:v>Department</x:v>
      </x:c>
      <x:c r="N118" t="str">
        <x:v>Low</x:v>
      </x:c>
      <x:c r="O118" t="str">
        <x:v>P2</x:v>
      </x:c>
      <x:c r="P118" t="str">
        <x:v>Infrastructure</x:v>
      </x:c>
      <x:c r="Q118" t="str">
        <x:v>Do you know the exact path, site, or file name involved?</x:v>
      </x:c>
      <x:c r="R118" t="str">
        <x:v>Collect the exact share, site, or path so support can verify access quickly.</x:v>
      </x:c>
      <x:c r="S118" t="str">
        <x:v>Yes</x:v>
      </x:c>
      <x:c r="T118" t="str">
        <x:v>Resolved by restoring expected connectivity or application functionality.</x:v>
      </x:c>
    </x:row>
    <x:row r="119">
      <x:c r="A119" t="str">
        <x:v>HD-20260118</x:v>
      </x:c>
      <x:c r="B119" t="str">
        <x:v>2026-02-10 21:37</x:v>
      </x:c>
      <x:c r="C119" t="str">
        <x:v>Chat</x:v>
      </x:c>
      <x:c r="D119" t="str">
        <x:v>Specialist</x:v>
      </x:c>
      <x:c r="E119" t="str">
        <x:v>Marketing</x:v>
      </x:c>
      <x:c r="F119" t="str">
        <x:v>Dallas HQ</x:v>
      </x:c>
      <x:c r="G119" t="str">
        <x:v>Desktop</x:v>
      </x:c>
      <x:c r="H119" t="str">
        <x:v>Windows 11</x:v>
      </x:c>
      <x:c r="I119" t="str">
        <x:v>SharePoint site inaccessible</x:v>
      </x:c>
      <x:c r="J119" t="str">
        <x:v>User receives an access or loading error when trying to open a team site. The user is remote and connected through home internet.</x:v>
      </x:c>
      <x:c r="K119" t="str">
        <x:v>File/Share Access</x:v>
      </x:c>
      <x:c r="L119" t="str">
        <x:v>File Sync Issue</x:v>
      </x:c>
      <x:c r="M119" t="str">
        <x:v>Single User</x:v>
      </x:c>
      <x:c r="N119" t="str">
        <x:v>Medium</x:v>
      </x:c>
      <x:c r="O119" t="str">
        <x:v>P3</x:v>
      </x:c>
      <x:c r="P119" t="str">
        <x:v>Infrastructure</x:v>
      </x:c>
      <x:c r="Q119" t="str">
        <x:v>Do you know the exact path, site, or file name involved?</x:v>
      </x:c>
      <x:c r="R119" t="str">
        <x:v>Identify whether the issue affects only one user or multiple people.</x:v>
      </x:c>
      <x:c r="S119" t="str">
        <x:v>Yes</x:v>
      </x:c>
      <x:c r="T119" t="str">
        <x:v>Resolved after client-side remediation and user retest.</x:v>
      </x:c>
    </x:row>
    <x:row r="120">
      <x:c r="A120" t="str">
        <x:v>HD-20260119</x:v>
      </x:c>
      <x:c r="B120" t="str">
        <x:v>2026-02-07 18:09</x:v>
      </x:c>
      <x:c r="C120" t="str">
        <x:v>Portal</x:v>
      </x:c>
      <x:c r="D120" t="str">
        <x:v>Associate</x:v>
      </x:c>
      <x:c r="E120" t="str">
        <x:v>Operations</x:v>
      </x:c>
      <x:c r="F120" t="str">
        <x:v>Fort Worth Store</x:v>
      </x:c>
      <x:c r="G120" t="str">
        <x:v>Desktop</x:v>
      </x:c>
      <x:c r="H120" t="str">
        <x:v>Windows 11</x:v>
      </x:c>
      <x:c r="I120" t="str">
        <x:v>Report will not generate</x:v>
      </x:c>
      <x:c r="J120" t="str">
        <x:v>Requested operational report fails to run or exports blank data. A screenshot is available in the ticket.</x:v>
      </x:c>
      <x:c r="K120" t="str">
        <x:v>Line of Business App</x:v>
      </x:c>
      <x:c r="L120" t="str">
        <x:v>POS/ERP Error</x:v>
      </x:c>
      <x:c r="M120" t="str">
        <x:v>Single User</x:v>
      </x:c>
      <x:c r="N120" t="str">
        <x:v>High</x:v>
      </x:c>
      <x:c r="O120" t="str">
        <x:v>P2</x:v>
      </x:c>
      <x:c r="P120" t="str">
        <x:v>Business Applications</x:v>
      </x:c>
      <x:c r="Q120" t="str">
        <x:v>Is there a business deadline or outage impact right now?</x:v>
      </x:c>
      <x:c r="R120" t="str">
        <x:v>Capture the exact module, transaction, and error message before escalation.</x:v>
      </x:c>
      <x:c r="S120" t="str">
        <x:v>Yes</x:v>
      </x:c>
      <x:c r="T120" t="str">
        <x:v>Resolved after client-side remediation and user retest.</x:v>
      </x:c>
    </x:row>
    <x:row r="121">
      <x:c r="A121" t="str">
        <x:v>HD-20260120</x:v>
      </x:c>
      <x:c r="B121" t="str">
        <x:v>2026-03-21 19:54</x:v>
      </x:c>
      <x:c r="C121" t="str">
        <x:v>Email</x:v>
      </x:c>
      <x:c r="D121" t="str">
        <x:v>Supervisor</x:v>
      </x:c>
      <x:c r="E121" t="str">
        <x:v>Sales</x:v>
      </x:c>
      <x:c r="F121" t="str">
        <x:v>Plano Office</x:v>
      </x:c>
      <x:c r="G121" t="str">
        <x:v>Desktop</x:v>
      </x:c>
      <x:c r="H121" t="str">
        <x:v>macOS</x:v>
      </x:c>
      <x:c r="I121" t="str">
        <x:v>Teams audio not working</x:v>
      </x:c>
      <x:c r="J121" t="str">
        <x:v>User can join meetings but cannot hear audio or the microphone is not detected properly. The issue appears limited to one device.</x:v>
      </x:c>
      <x:c r="K121" t="str">
        <x:v>Email &amp; Collaboration</x:v>
      </x:c>
      <x:c r="L121" t="str">
        <x:v>Mailbox Access</x:v>
      </x:c>
      <x:c r="M121" t="str">
        <x:v>Small Team</x:v>
      </x:c>
      <x:c r="N121" t="str">
        <x:v>High</x:v>
      </x:c>
      <x:c r="O121" t="str">
        <x:v>P2</x:v>
      </x:c>
      <x:c r="P121" t="str">
        <x:v>Messaging Team</x:v>
      </x:c>
      <x:c r="Q121" t="str">
        <x:v>Is the issue only in Outlook, or does it also happen in webmail or Teams?</x:v>
      </x:c>
      <x:c r="R121" t="str">
        <x:v>Verify whether the mailbox or calendar access was recently changed.</x:v>
      </x:c>
      <x:c r="S121" t="str">
        <x:v>No</x:v>
      </x:c>
      <x:c r="T121" t="str">
        <x:v>Open pending approval, access change, or replacement hardware.</x:v>
      </x:c>
    </x:row>
    <x:row r="122">
      <x:c r="A122" t="str">
        <x:v>HD-20260121</x:v>
      </x:c>
      <x:c r="B122" t="str">
        <x:v>2026-02-27 09:30</x:v>
      </x:c>
      <x:c r="C122" t="str">
        <x:v>Email</x:v>
      </x:c>
      <x:c r="D122" t="str">
        <x:v>Manager</x:v>
      </x:c>
      <x:c r="E122" t="str">
        <x:v>Operations</x:v>
      </x:c>
      <x:c r="F122" t="str">
        <x:v>Plano Office</x:v>
      </x:c>
      <x:c r="G122" t="str">
        <x:v>Desktop</x:v>
      </x:c>
      <x:c r="H122" t="str">
        <x:v>macOS</x:v>
      </x:c>
      <x:c r="I122" t="str">
        <x:v>Unrecognized sign-in alert</x:v>
      </x:c>
      <x:c r="J122" t="str">
        <x:v>User received a sign-in alert for a location or device they do not recognize. Another coworker reported a similar symptom.</x:v>
      </x:c>
      <x:c r="K122" t="str">
        <x:v>Security</x:v>
      </x:c>
      <x:c r="L122" t="str">
        <x:v>Malware Alert</x:v>
      </x:c>
      <x:c r="M122" t="str">
        <x:v>Department</x:v>
      </x:c>
      <x:c r="N122" t="str">
        <x:v>High</x:v>
      </x:c>
      <x:c r="O122" t="str">
        <x:v>P2</x:v>
      </x:c>
      <x:c r="P122" t="str">
        <x:v>Security Operations</x:v>
      </x:c>
      <x:c r="Q122" t="str">
        <x:v>What file, site, or sender triggered the alert?</x:v>
      </x:c>
      <x:c r="R122" t="str">
        <x:v>Treat the report as security-sensitive, preserve evidence, and avoid telling the user to continue interacting with the content.</x:v>
      </x:c>
      <x:c r="S122" t="str">
        <x:v>No</x:v>
      </x:c>
      <x:c r="T122" t="str">
        <x:v>Escalated to owning team for deeper investigation.</x:v>
      </x:c>
    </x:row>
    <x:row r="123">
      <x:c r="A123" t="str">
        <x:v>HD-20260122</x:v>
      </x:c>
      <x:c r="B123" t="str">
        <x:v>2026-02-09 00:52</x:v>
      </x:c>
      <x:c r="C123" t="str">
        <x:v>Chat</x:v>
      </x:c>
      <x:c r="D123" t="str">
        <x:v>Specialist</x:v>
      </x:c>
      <x:c r="E123" t="str">
        <x:v>Customer Service</x:v>
      </x:c>
      <x:c r="F123" t="str">
        <x:v>Plano Office</x:v>
      </x:c>
      <x:c r="G123" t="str">
        <x:v>Desktop</x:v>
      </x:c>
      <x:c r="H123" t="str">
        <x:v>Windows 10</x:v>
      </x:c>
      <x:c r="I123" t="str">
        <x:v>Scan to email not working</x:v>
      </x:c>
      <x:c r="J123" t="str">
        <x:v>Multi-function device scans locally but fails when sending email. The user has already rebooted once.</x:v>
      </x:c>
      <x:c r="K123" t="str">
        <x:v>Printing</x:v>
      </x:c>
      <x:c r="L123" t="str">
        <x:v>Printer Offline</x:v>
      </x:c>
      <x:c r="M123" t="str">
        <x:v>Single User</x:v>
      </x:c>
      <x:c r="N123" t="str">
        <x:v>Low</x:v>
      </x:c>
      <x:c r="O123" t="str">
        <x:v>P4</x:v>
      </x:c>
      <x:c r="P123" t="str">
        <x:v>Field Support</x:v>
      </x:c>
      <x:c r="Q123" t="str">
        <x:v>Can the user print a test page from another application?</x:v>
      </x:c>
      <x:c r="R123" t="str">
        <x:v>Identify whether the failure is user-specific, workstation-specific, or printer-wide.</x:v>
      </x:c>
      <x:c r="S123" t="str">
        <x:v>No</x:v>
      </x:c>
      <x:c r="T123" t="str">
        <x:v>Awaiting user response with requested details or screenshots.</x:v>
      </x:c>
    </x:row>
    <x:row r="124">
      <x:c r="A124" t="str">
        <x:v>HD-20260123</x:v>
      </x:c>
      <x:c r="B124" t="str">
        <x:v>2026-02-23 07:44</x:v>
      </x:c>
      <x:c r="C124" t="str">
        <x:v>Email</x:v>
      </x:c>
      <x:c r="D124" t="str">
        <x:v>Manager</x:v>
      </x:c>
      <x:c r="E124" t="str">
        <x:v>Marketing</x:v>
      </x:c>
      <x:c r="F124" t="str">
        <x:v>Fort Worth Store</x:v>
      </x:c>
      <x:c r="G124" t="str">
        <x:v>Laptop</x:v>
      </x:c>
      <x:c r="H124" t="str">
        <x:v>Windows 11</x:v>
      </x:c>
      <x:c r="I124" t="str">
        <x:v>OneDrive not syncing</x:v>
      </x:c>
      <x:c r="J124" t="str">
        <x:v>Files updated on one device are not appearing on another and sync shows errors. No recent hardware changes were reported.</x:v>
      </x:c>
      <x:c r="K124" t="str">
        <x:v>File/Share Access</x:v>
      </x:c>
      <x:c r="L124" t="str">
        <x:v>SharePoint/OneDrive</x:v>
      </x:c>
      <x:c r="M124" t="str">
        <x:v>Department</x:v>
      </x:c>
      <x:c r="N124" t="str">
        <x:v>Low</x:v>
      </x:c>
      <x:c r="O124" t="str">
        <x:v>P2</x:v>
      </x:c>
      <x:c r="P124" t="str">
        <x:v>Infrastructure</x:v>
      </x:c>
      <x:c r="Q124" t="str">
        <x:v>Do you know the exact path, site, or file name involved?</x:v>
      </x:c>
      <x:c r="R124" t="str">
        <x:v>Identify whether the issue affects only one user or multiple people.</x:v>
      </x:c>
      <x:c r="S124" t="str">
        <x:v>Yes</x:v>
      </x:c>
      <x:c r="T124" t="str">
        <x:v>Resolved by restoring expected connectivity or application functionality.</x:v>
      </x:c>
    </x:row>
    <x:row r="125">
      <x:c r="A125" t="str">
        <x:v>HD-20260124</x:v>
      </x:c>
      <x:c r="B125" t="str">
        <x:v>2026-03-13 02:08</x:v>
      </x:c>
      <x:c r="C125" t="str">
        <x:v>Chat</x:v>
      </x:c>
      <x:c r="D125" t="str">
        <x:v>Analyst</x:v>
      </x:c>
      <x:c r="E125" t="str">
        <x:v>Sales</x:v>
      </x:c>
      <x:c r="F125" t="str">
        <x:v>Houston Branch</x:v>
      </x:c>
      <x:c r="G125" t="str">
        <x:v>Desktop</x:v>
      </x:c>
      <x:c r="H125" t="str">
        <x:v>Windows 10</x:v>
      </x:c>
      <x:c r="I125" t="str">
        <x:v>Laptop running extremely slow</x:v>
      </x:c>
      <x:c r="J125" t="str">
        <x:v>User reports severe slowness during normal work, especially when launching applications. Another coworker reported a similar symptom.</x:v>
      </x:c>
      <x:c r="K125" t="str">
        <x:v>Hardware</x:v>
      </x:c>
      <x:c r="L125" t="str">
        <x:v>Laptop Performance</x:v>
      </x:c>
      <x:c r="M125" t="str">
        <x:v>Small Team</x:v>
      </x:c>
      <x:c r="N125" t="str">
        <x:v>Low</x:v>
      </x:c>
      <x:c r="O125" t="str">
        <x:v>P3</x:v>
      </x:c>
      <x:c r="P125" t="str">
        <x:v>Desktop Support</x:v>
      </x:c>
      <x:c r="Q125" t="str">
        <x:v>Is the issue happening with one accessory or multiple devices connected to the workstation?</x:v>
      </x:c>
      <x:c r="R125" t="str">
        <x:v>Determine whether the issue is isolated to one device, one dock, or one user profile.</x:v>
      </x:c>
      <x:c r="S125" t="str">
        <x:v>No</x:v>
      </x:c>
      <x:c r="T125" t="str">
        <x:v>Open pending approval, access change, or replacement hardware.</x:v>
      </x:c>
    </x:row>
    <x:row r="126">
      <x:c r="A126" t="str">
        <x:v>HD-20260125</x:v>
      </x:c>
      <x:c r="B126" t="str">
        <x:v>2026-03-02 23:36</x:v>
      </x:c>
      <x:c r="C126" t="str">
        <x:v>Phone</x:v>
      </x:c>
      <x:c r="D126" t="str">
        <x:v>Analyst</x:v>
      </x:c>
      <x:c r="E126" t="str">
        <x:v>Operations</x:v>
      </x:c>
      <x:c r="F126" t="str">
        <x:v>Remote - Texas</x:v>
      </x:c>
      <x:c r="G126" t="str">
        <x:v>Desktop</x:v>
      </x:c>
      <x:c r="H126" t="str">
        <x:v>macOS</x:v>
      </x:c>
      <x:c r="I126" t="str">
        <x:v>Keyboard or mouse stopped working</x:v>
      </x:c>
      <x:c r="J126" t="str">
        <x:v>Peripheral worked earlier but is now intermittently disconnecting or completely unresponsive. The issue began this morning.</x:v>
      </x:c>
      <x:c r="K126" t="str">
        <x:v>Hardware</x:v>
      </x:c>
      <x:c r="L126" t="str">
        <x:v>Monitor Issue</x:v>
      </x:c>
      <x:c r="M126" t="str">
        <x:v>Single User</x:v>
      </x:c>
      <x:c r="N126" t="str">
        <x:v>Medium</x:v>
      </x:c>
      <x:c r="O126" t="str">
        <x:v>P3</x:v>
      </x:c>
      <x:c r="P126" t="str">
        <x:v>Desktop Support</x:v>
      </x:c>
      <x:c r="Q126" t="str">
        <x:v>Is the issue happening with one accessory or multiple devices connected to the workstation?</x:v>
      </x:c>
      <x:c r="R126" t="str">
        <x:v>Confirm power, cable, and dock connections before moving to replacement or escalation.</x:v>
      </x:c>
      <x:c r="S126" t="str">
        <x:v>No</x:v>
      </x:c>
      <x:c r="T126" t="str">
        <x:v>Escalated to owning team for deeper investigation.</x:v>
      </x:c>
    </x:row>
    <x:row r="127">
      <x:c r="A127" t="str">
        <x:v>HD-20260126</x:v>
      </x:c>
      <x:c r="B127" t="str">
        <x:v>2026-02-03 22:18</x:v>
      </x:c>
      <x:c r="C127" t="str">
        <x:v>Portal</x:v>
      </x:c>
      <x:c r="D127" t="str">
        <x:v>Supervisor</x:v>
      </x:c>
      <x:c r="E127" t="str">
        <x:v>IT</x:v>
      </x:c>
      <x:c r="F127" t="str">
        <x:v>Austin Branch</x:v>
      </x:c>
      <x:c r="G127" t="str">
        <x:v>Mobile</x:v>
      </x:c>
      <x:c r="H127" t="str">
        <x:v>iPhone</x:v>
      </x:c>
      <x:c r="I127" t="str">
        <x:v>Sensitive data may have been sent</x:v>
      </x:c>
      <x:c r="J127" t="str">
        <x:v>User is concerned that confidential information may have been emailed or uploaded improperly. The problem started after a password change.</x:v>
      </x:c>
      <x:c r="K127" t="str">
        <x:v>Security</x:v>
      </x:c>
      <x:c r="L127" t="str">
        <x:v>Malware Alert</x:v>
      </x:c>
      <x:c r="M127" t="str">
        <x:v>Single User</x:v>
      </x:c>
      <x:c r="N127" t="str">
        <x:v>High</x:v>
      </x:c>
      <x:c r="O127" t="str">
        <x:v>P2</x:v>
      </x:c>
      <x:c r="P127" t="str">
        <x:v>Security Operations</x:v>
      </x:c>
      <x:c r="Q127" t="str">
        <x:v>What file, site, or sender triggered the alert?</x:v>
      </x:c>
      <x:c r="R127" t="str">
        <x:v>Treat the report as security-sensitive, preserve evidence, and avoid telling the user to continue interacting with the content.</x:v>
      </x:c>
      <x:c r="S127" t="str">
        <x:v>Yes</x:v>
      </x:c>
      <x:c r="T127" t="str">
        <x:v>Resolved by correcting account or permission settings and validating access.</x:v>
      </x:c>
    </x:row>
    <x:row r="128">
      <x:c r="A128" t="str">
        <x:v>HD-20260127</x:v>
      </x:c>
      <x:c r="B128" t="str">
        <x:v>2026-03-04 21:48</x:v>
      </x:c>
      <x:c r="C128" t="str">
        <x:v>Portal</x:v>
      </x:c>
      <x:c r="D128" t="str">
        <x:v>Manager</x:v>
      </x:c>
      <x:c r="E128" t="str">
        <x:v>Operations</x:v>
      </x:c>
      <x:c r="F128" t="str">
        <x:v>Remote - Texas</x:v>
      </x:c>
      <x:c r="G128" t="str">
        <x:v>Desktop</x:v>
      </x:c>
      <x:c r="H128" t="str">
        <x:v>Windows 11</x:v>
      </x:c>
      <x:c r="I128" t="str">
        <x:v>Jobs stuck in print queue</x:v>
      </x:c>
      <x:c r="J128" t="str">
        <x:v>Print jobs remain in queue and never reach the printer. A screenshot is available in the ticket.</x:v>
      </x:c>
      <x:c r="K128" t="str">
        <x:v>Printing</x:v>
      </x:c>
      <x:c r="L128" t="str">
        <x:v>Scan to Email</x:v>
      </x:c>
      <x:c r="M128" t="str">
        <x:v>Single User</x:v>
      </x:c>
      <x:c r="N128" t="str">
        <x:v>Low</x:v>
      </x:c>
      <x:c r="O128" t="str">
        <x:v>P4</x:v>
      </x:c>
      <x:c r="P128" t="str">
        <x:v>Field Support</x:v>
      </x:c>
      <x:c r="Q128" t="str">
        <x:v>Did the printer or driver recently change?</x:v>
      </x:c>
      <x:c r="R128" t="str">
        <x:v>Check queue status and whether the device is reachable on the network.</x:v>
      </x:c>
      <x:c r="S128" t="str">
        <x:v>Yes</x:v>
      </x:c>
      <x:c r="T128" t="str">
        <x:v>Issue resolved after standard troubleshooting and confirmation from user.</x:v>
      </x:c>
    </x:row>
    <x:row r="129">
      <x:c r="A129" t="str">
        <x:v>HD-20260128</x:v>
      </x:c>
      <x:c r="B129" t="str">
        <x:v>2026-02-08 01:15</x:v>
      </x:c>
      <x:c r="C129" t="str">
        <x:v>Email</x:v>
      </x:c>
      <x:c r="D129" t="str">
        <x:v>Specialist</x:v>
      </x:c>
      <x:c r="E129" t="str">
        <x:v>IT</x:v>
      </x:c>
      <x:c r="F129" t="str">
        <x:v>Austin Branch</x:v>
      </x:c>
      <x:c r="G129" t="str">
        <x:v>Desktop</x:v>
      </x:c>
      <x:c r="H129" t="str">
        <x:v>iPhone</x:v>
      </x:c>
      <x:c r="I129" t="str">
        <x:v>MFA code not arriving</x:v>
      </x:c>
      <x:c r="J129" t="str">
        <x:v>User is not receiving push notifications or codes required to complete sign-in. The behavior is affecting normal job duties.</x:v>
      </x:c>
      <x:c r="K129" t="str">
        <x:v>Identity &amp; Access</x:v>
      </x:c>
      <x:c r="L129" t="str">
        <x:v>Account Lockout</x:v>
      </x:c>
      <x:c r="M129" t="str">
        <x:v>Department</x:v>
      </x:c>
      <x:c r="N129" t="str">
        <x:v>Low</x:v>
      </x:c>
      <x:c r="O129" t="str">
        <x:v>P2</x:v>
      </x:c>
      <x:c r="P129" t="str">
        <x:v>Service Desk</x:v>
      </x:c>
      <x:c r="Q129" t="str">
        <x:v>Did you change phones, numbers, or authenticators recently?</x:v>
      </x:c>
      <x:c r="R129" t="str">
        <x:v>Confirm whether the user recently changed credentials or devices before resetting anything.</x:v>
      </x:c>
      <x:c r="S129" t="str">
        <x:v>No</x:v>
      </x:c>
      <x:c r="T129" t="str">
        <x:v>Awaiting user response with requested details or screenshots.</x:v>
      </x:c>
    </x:row>
    <x:row r="130">
      <x:c r="A130" t="str">
        <x:v>HD-20260129</x:v>
      </x:c>
      <x:c r="B130" t="str">
        <x:v>2026-03-07 08:49</x:v>
      </x:c>
      <x:c r="C130" t="str">
        <x:v>Email</x:v>
      </x:c>
      <x:c r="D130" t="str">
        <x:v>Supervisor</x:v>
      </x:c>
      <x:c r="E130" t="str">
        <x:v>Marketing</x:v>
      </x:c>
      <x:c r="F130" t="str">
        <x:v>Austin Branch</x:v>
      </x:c>
      <x:c r="G130" t="str">
        <x:v>Laptop</x:v>
      </x:c>
      <x:c r="H130" t="str">
        <x:v>Windows 10</x:v>
      </x:c>
      <x:c r="I130" t="str">
        <x:v>Jobs stuck in print queue</x:v>
      </x:c>
      <x:c r="J130" t="str">
        <x:v>Print jobs remain in queue and never reach the printer. Another coworker reported a similar symptom.</x:v>
      </x:c>
      <x:c r="K130" t="str">
        <x:v>Printing</x:v>
      </x:c>
      <x:c r="L130" t="str">
        <x:v>Cannot Print</x:v>
      </x:c>
      <x:c r="M130" t="str">
        <x:v>Single User</x:v>
      </x:c>
      <x:c r="N130" t="str">
        <x:v>Medium</x:v>
      </x:c>
      <x:c r="O130" t="str">
        <x:v>P3</x:v>
      </x:c>
      <x:c r="P130" t="str">
        <x:v>Field Support</x:v>
      </x:c>
      <x:c r="Q130" t="str">
        <x:v>Can the user print a test page from another application?</x:v>
      </x:c>
      <x:c r="R130" t="str">
        <x:v>Check queue status and whether the device is reachable on the network.</x:v>
      </x:c>
      <x:c r="S130" t="str">
        <x:v>Yes</x:v>
      </x:c>
      <x:c r="T130" t="str">
        <x:v>Resolved by correcting account or permission settings and validating access.</x:v>
      </x:c>
    </x:row>
    <x:row r="131">
      <x:c r="A131" t="str">
        <x:v>HD-20260130</x:v>
      </x:c>
      <x:c r="B131" t="str">
        <x:v>2026-03-11 23:34</x:v>
      </x:c>
      <x:c r="C131" t="str">
        <x:v>Email</x:v>
      </x:c>
      <x:c r="D131" t="str">
        <x:v>Specialist</x:v>
      </x:c>
      <x:c r="E131" t="str">
        <x:v>Operations</x:v>
      </x:c>
      <x:c r="F131" t="str">
        <x:v>Austin Branch</x:v>
      </x:c>
      <x:c r="G131" t="str">
        <x:v>Desktop</x:v>
      </x:c>
      <x:c r="H131" t="str">
        <x:v>Android</x:v>
      </x:c>
      <x:c r="I131" t="str">
        <x:v>Teams audio not working</x:v>
      </x:c>
      <x:c r="J131" t="str">
        <x:v>User can join meetings but cannot hear audio or the microphone is not detected properly. The problem started after a password change.</x:v>
      </x:c>
      <x:c r="K131" t="str">
        <x:v>Email &amp; Collaboration</x:v>
      </x:c>
      <x:c r="L131" t="str">
        <x:v>Email Delivery</x:v>
      </x:c>
      <x:c r="M131" t="str">
        <x:v>Small Team</x:v>
      </x:c>
      <x:c r="N131" t="str">
        <x:v>High</x:v>
      </x:c>
      <x:c r="O131" t="str">
        <x:v>P2</x:v>
      </x:c>
      <x:c r="P131" t="str">
        <x:v>Messaging Team</x:v>
      </x:c>
      <x:c r="Q131" t="str">
        <x:v>When did it last work normally?</x:v>
      </x:c>
      <x:c r="R131" t="str">
        <x:v>Confirm whether the issue reproduces in the web client to isolate app versus service problems.</x:v>
      </x:c>
      <x:c r="S131" t="str">
        <x:v>Yes</x:v>
      </x:c>
      <x:c r="T131" t="str">
        <x:v>Resolved after client-side remediation and user retest.</x:v>
      </x:c>
    </x:row>
    <x:row r="132">
      <x:c r="A132" t="str">
        <x:v>HD-20260131</x:v>
      </x:c>
      <x:c r="B132" t="str">
        <x:v>2026-03-05 09:13</x:v>
      </x:c>
      <x:c r="C132" t="str">
        <x:v>Chat</x:v>
      </x:c>
      <x:c r="D132" t="str">
        <x:v>Associate</x:v>
      </x:c>
      <x:c r="E132" t="str">
        <x:v>IT</x:v>
      </x:c>
      <x:c r="F132" t="str">
        <x:v>Remote - Texas</x:v>
      </x:c>
      <x:c r="G132" t="str">
        <x:v>Laptop</x:v>
      </x:c>
      <x:c r="H132" t="str">
        <x:v>Windows 11</x:v>
      </x:c>
      <x:c r="I132" t="str">
        <x:v>ERP throws error on save</x:v>
      </x:c>
      <x:c r="J132" t="str">
        <x:v>User can open records but receives an error when attempting to save changes in the business application. Another coworker reported a similar symptom.</x:v>
      </x:c>
      <x:c r="K132" t="str">
        <x:v>Line of Business App</x:v>
      </x:c>
      <x:c r="L132" t="str">
        <x:v>POS/ERP Error</x:v>
      </x:c>
      <x:c r="M132" t="str">
        <x:v>Single User</x:v>
      </x:c>
      <x:c r="N132" t="str">
        <x:v>Medium</x:v>
      </x:c>
      <x:c r="O132" t="str">
        <x:v>P3</x:v>
      </x:c>
      <x:c r="P132" t="str">
        <x:v>Business Applications</x:v>
      </x:c>
      <x:c r="Q132" t="str">
        <x:v>Does this affect one user, one location, or many users?</x:v>
      </x:c>
      <x:c r="R132" t="str">
        <x:v>Capture the exact module, transaction, and error message before escalation.</x:v>
      </x:c>
      <x:c r="S132" t="str">
        <x:v>Yes</x:v>
      </x:c>
      <x:c r="T132" t="str">
        <x:v>Resolved after service desk triage and routing to the correct support team.</x:v>
      </x:c>
    </x:row>
    <x:row r="133">
      <x:c r="A133" t="str">
        <x:v>HD-20260132</x:v>
      </x:c>
      <x:c r="B133" t="str">
        <x:v>2026-03-10 23:13</x:v>
      </x:c>
      <x:c r="C133" t="str">
        <x:v>Portal</x:v>
      </x:c>
      <x:c r="D133" t="str">
        <x:v>Associate</x:v>
      </x:c>
      <x:c r="E133" t="str">
        <x:v>Finance</x:v>
      </x:c>
      <x:c r="F133" t="str">
        <x:v>Austin Branch</x:v>
      </x:c>
      <x:c r="G133" t="str">
        <x:v>Desktop</x:v>
      </x:c>
      <x:c r="H133" t="str">
        <x:v>Windows 10</x:v>
      </x:c>
      <x:c r="I133" t="str">
        <x:v>ERP throws error on save</x:v>
      </x:c>
      <x:c r="J133" t="str">
        <x:v>User can open records but receives an error when attempting to save changes in the business application. Another coworker reported a similar symptom.</x:v>
      </x:c>
      <x:c r="K133" t="str">
        <x:v>Line of Business App</x:v>
      </x:c>
      <x:c r="L133" t="str">
        <x:v>Integration Error</x:v>
      </x:c>
      <x:c r="M133" t="str">
        <x:v>Small Team</x:v>
      </x:c>
      <x:c r="N133" t="str">
        <x:v>High</x:v>
      </x:c>
      <x:c r="O133" t="str">
        <x:v>P2</x:v>
      </x:c>
      <x:c r="P133" t="str">
        <x:v>Business Applications</x:v>
      </x:c>
      <x:c r="Q133" t="str">
        <x:v>Is there a business deadline or outage impact right now?</x:v>
      </x:c>
      <x:c r="R133" t="str">
        <x:v>Capture the exact module, transaction, and error message before escalation.</x:v>
      </x:c>
      <x:c r="S133" t="str">
        <x:v>No</x:v>
      </x:c>
      <x:c r="T133" t="str">
        <x:v>Awaiting user response with requested details or screenshots.</x:v>
      </x:c>
    </x:row>
    <x:row r="134">
      <x:c r="A134" t="str">
        <x:v>HD-20260133</x:v>
      </x:c>
      <x:c r="B134" t="str">
        <x:v>2026-03-02 10:26</x:v>
      </x:c>
      <x:c r="C134" t="str">
        <x:v>Portal</x:v>
      </x:c>
      <x:c r="D134" t="str">
        <x:v>Coordinator</x:v>
      </x:c>
      <x:c r="E134" t="str">
        <x:v>Customer Service</x:v>
      </x:c>
      <x:c r="F134" t="str">
        <x:v>Dallas HQ</x:v>
      </x:c>
      <x:c r="G134" t="str">
        <x:v>Laptop</x:v>
      </x:c>
      <x:c r="H134" t="str">
        <x:v>Windows 11</x:v>
      </x:c>
      <x:c r="I134" t="str">
        <x:v>No network access on wired desktop</x:v>
      </x:c>
      <x:c r="J134" t="str">
        <x:v>Desktop shows connected to Ethernet but cannot reach intranet sites or mapped drives. The user states the issue was intermittent yesterday and is now constant.</x:v>
      </x:c>
      <x:c r="K134" t="str">
        <x:v>Network/VPN</x:v>
      </x:c>
      <x:c r="L134" t="str">
        <x:v>DNS/Name Resolution</x:v>
      </x:c>
      <x:c r="M134" t="str">
        <x:v>Small Team</x:v>
      </x:c>
      <x:c r="N134" t="str">
        <x:v>High</x:v>
      </x:c>
      <x:c r="O134" t="str">
        <x:v>P2</x:v>
      </x:c>
      <x:c r="P134" t="str">
        <x:v>Network Support</x:v>
      </x:c>
      <x:c r="Q134" t="str">
        <x:v>Did this start today, and does the issue happen on other networks?</x:v>
      </x:c>
      <x:c r="R134" t="str">
        <x:v>Confirm whether the issue affects one user or multiple users before escalating.</x:v>
      </x:c>
      <x:c r="S134" t="str">
        <x:v>Yes</x:v>
      </x:c>
      <x:c r="T134" t="str">
        <x:v>Resolved by restoring expected connectivity or application functionality.</x:v>
      </x:c>
    </x:row>
    <x:row r="135">
      <x:c r="A135" t="str">
        <x:v>HD-20260134</x:v>
      </x:c>
      <x:c r="B135" t="str">
        <x:v>2026-01-08 06:19</x:v>
      </x:c>
      <x:c r="C135" t="str">
        <x:v>Phone</x:v>
      </x:c>
      <x:c r="D135" t="str">
        <x:v>Supervisor</x:v>
      </x:c>
      <x:c r="E135" t="str">
        <x:v>IT</x:v>
      </x:c>
      <x:c r="F135" t="str">
        <x:v>Remote - Texas</x:v>
      </x:c>
      <x:c r="G135" t="str">
        <x:v>Desktop</x:v>
      </x:c>
      <x:c r="H135" t="str">
        <x:v>Windows 11</x:v>
      </x:c>
      <x:c r="I135" t="str">
        <x:v>Printer shows offline</x:v>
      </x:c>
      <x:c r="J135" t="str">
        <x:v>User cannot print because the shared printer appears offline from the workstation. Another coworker reported a similar symptom.</x:v>
      </x:c>
      <x:c r="K135" t="str">
        <x:v>Printing</x:v>
      </x:c>
      <x:c r="L135" t="str">
        <x:v>Queue Stuck</x:v>
      </x:c>
      <x:c r="M135" t="str">
        <x:v>Small Team</x:v>
      </x:c>
      <x:c r="N135" t="str">
        <x:v>Low</x:v>
      </x:c>
      <x:c r="O135" t="str">
        <x:v>P3</x:v>
      </x:c>
      <x:c r="P135" t="str">
        <x:v>Field Support</x:v>
      </x:c>
      <x:c r="Q135" t="str">
        <x:v>Can the user print a test page from another application?</x:v>
      </x:c>
      <x:c r="R135" t="str">
        <x:v>Confirm the exact printer name and model before reinstalling drivers.</x:v>
      </x:c>
      <x:c r="S135" t="str">
        <x:v>No</x:v>
      </x:c>
      <x:c r="T135" t="str">
        <x:v>Escalated to owning team for deeper investigation.</x:v>
      </x:c>
    </x:row>
    <x:row r="136">
      <x:c r="A136" t="str">
        <x:v>HD-20260135</x:v>
      </x:c>
      <x:c r="B136" t="str">
        <x:v>2026-01-07 16:15</x:v>
      </x:c>
      <x:c r="C136" t="str">
        <x:v>Email</x:v>
      </x:c>
      <x:c r="D136" t="str">
        <x:v>Associate</x:v>
      </x:c>
      <x:c r="E136" t="str">
        <x:v>Operations</x:v>
      </x:c>
      <x:c r="F136" t="str">
        <x:v>Austin Branch</x:v>
      </x:c>
      <x:c r="G136" t="str">
        <x:v>Laptop</x:v>
      </x:c>
      <x:c r="H136" t="str">
        <x:v>Windows 11</x:v>
      </x:c>
      <x:c r="I136" t="str">
        <x:v>Jobs stuck in print queue</x:v>
      </x:c>
      <x:c r="J136" t="str">
        <x:v>Print jobs remain in queue and never reach the printer. No recent hardware changes were reported.</x:v>
      </x:c>
      <x:c r="K136" t="str">
        <x:v>Printing</x:v>
      </x:c>
      <x:c r="L136" t="str">
        <x:v>Printer Offline</x:v>
      </x:c>
      <x:c r="M136" t="str">
        <x:v>Single User</x:v>
      </x:c>
      <x:c r="N136" t="str">
        <x:v>Medium</x:v>
      </x:c>
      <x:c r="O136" t="str">
        <x:v>P3</x:v>
      </x:c>
      <x:c r="P136" t="str">
        <x:v>Field Support</x:v>
      </x:c>
      <x:c r="Q136" t="str">
        <x:v>Is the issue affecting one user, one printer, or everyone using that printer?</x:v>
      </x:c>
      <x:c r="R136" t="str">
        <x:v>Check queue status and whether the device is reachable on the network.</x:v>
      </x:c>
      <x:c r="S136" t="str">
        <x:v>Yes</x:v>
      </x:c>
      <x:c r="T136" t="str">
        <x:v>Issue resolved after standard troubleshooting and confirmation from user.</x:v>
      </x:c>
    </x:row>
    <x:row r="137">
      <x:c r="A137" t="str">
        <x:v>HD-20260136</x:v>
      </x:c>
      <x:c r="B137" t="str">
        <x:v>2026-01-18 06:32</x:v>
      </x:c>
      <x:c r="C137" t="str">
        <x:v>Chat</x:v>
      </x:c>
      <x:c r="D137" t="str">
        <x:v>Manager</x:v>
      </x:c>
      <x:c r="E137" t="str">
        <x:v>Marketing</x:v>
      </x:c>
      <x:c r="F137" t="str">
        <x:v>Plano Office</x:v>
      </x:c>
      <x:c r="G137" t="str">
        <x:v>Laptop</x:v>
      </x:c>
      <x:c r="H137" t="str">
        <x:v>Windows 11</x:v>
      </x:c>
      <x:c r="I137" t="str">
        <x:v>Cannot open mapped drive</x:v>
      </x:c>
      <x:c r="J137" t="str">
        <x:v>User can log in but receives an access or path error when attempting to open a mapped file share. No recent hardware changes were reported.</x:v>
      </x:c>
      <x:c r="K137" t="str">
        <x:v>Network/VPN</x:v>
      </x:c>
      <x:c r="L137" t="str">
        <x:v>DNS/Name Resolution</x:v>
      </x:c>
      <x:c r="M137" t="str">
        <x:v>Small Team</x:v>
      </x:c>
      <x:c r="N137" t="str">
        <x:v>Medium</x:v>
      </x:c>
      <x:c r="O137" t="str">
        <x:v>P2</x:v>
      </x:c>
      <x:c r="P137" t="str">
        <x:v>Network Support</x:v>
      </x:c>
      <x:c r="Q137" t="str">
        <x:v>Can you reach the internet and internal resources separately, or neither?</x:v>
      </x:c>
      <x:c r="R137" t="str">
        <x:v>Test name resolution and access to internal resources to separate VPN, DNS, and permissions issues.</x:v>
      </x:c>
      <x:c r="S137" t="str">
        <x:v>Yes</x:v>
      </x:c>
      <x:c r="T137" t="str">
        <x:v>Resolved after client-side remediation and user retest.</x:v>
      </x:c>
    </x:row>
    <x:row r="138">
      <x:c r="A138" t="str">
        <x:v>HD-20260137</x:v>
      </x:c>
      <x:c r="B138" t="str">
        <x:v>2026-02-25 19:56</x:v>
      </x:c>
      <x:c r="C138" t="str">
        <x:v>Phone</x:v>
      </x:c>
      <x:c r="D138" t="str">
        <x:v>Supervisor</x:v>
      </x:c>
      <x:c r="E138" t="str">
        <x:v>HR</x:v>
      </x:c>
      <x:c r="F138" t="str">
        <x:v>Dallas HQ</x:v>
      </x:c>
      <x:c r="G138" t="str">
        <x:v>Laptop</x:v>
      </x:c>
      <x:c r="H138" t="str">
        <x:v>Windows 10</x:v>
      </x:c>
      <x:c r="I138" t="str">
        <x:v>Need software installed</x:v>
      </x:c>
      <x:c r="J138" t="str">
        <x:v>User is requesting installation of approved software required for job duties. The issue appears limited to one device.</x:v>
      </x:c>
      <x:c r="K138" t="str">
        <x:v>Software</x:v>
      </x:c>
      <x:c r="L138" t="str">
        <x:v>Browser Problem</x:v>
      </x:c>
      <x:c r="M138" t="str">
        <x:v>Single User</x:v>
      </x:c>
      <x:c r="N138" t="str">
        <x:v>Low</x:v>
      </x:c>
      <x:c r="O138" t="str">
        <x:v>P4</x:v>
      </x:c>
      <x:c r="P138" t="str">
        <x:v>Desktop Support</x:v>
      </x:c>
      <x:c r="Q138" t="str">
        <x:v>Does the issue affect one machine or multiple users?</x:v>
      </x:c>
      <x:c r="R138" t="str">
        <x:v>Collect screenshots or error text before reinstalling or clearing caches.</x:v>
      </x:c>
      <x:c r="S138" t="str">
        <x:v>No</x:v>
      </x:c>
      <x:c r="T138" t="str">
        <x:v>Open pending approval, access change, or replacement hardware.</x:v>
      </x:c>
    </x:row>
    <x:row r="139">
      <x:c r="A139" t="str">
        <x:v>HD-20260138</x:v>
      </x:c>
      <x:c r="B139" t="str">
        <x:v>2026-03-19 19:14</x:v>
      </x:c>
      <x:c r="C139" t="str">
        <x:v>Phone</x:v>
      </x:c>
      <x:c r="D139" t="str">
        <x:v>Specialist</x:v>
      </x:c>
      <x:c r="E139" t="str">
        <x:v>Marketing</x:v>
      </x:c>
      <x:c r="F139" t="str">
        <x:v>Austin Branch</x:v>
      </x:c>
      <x:c r="G139" t="str">
        <x:v>Laptop</x:v>
      </x:c>
      <x:c r="H139" t="str">
        <x:v>Windows 10</x:v>
      </x:c>
      <x:c r="I139" t="str">
        <x:v>Scan to email not working</x:v>
      </x:c>
      <x:c r="J139" t="str">
        <x:v>Multi-function device scans locally but fails when sending email. The issue appears limited to one device.</x:v>
      </x:c>
      <x:c r="K139" t="str">
        <x:v>Printing</x:v>
      </x:c>
      <x:c r="L139" t="str">
        <x:v>Scan to Email</x:v>
      </x:c>
      <x:c r="M139" t="str">
        <x:v>Single User</x:v>
      </x:c>
      <x:c r="N139" t="str">
        <x:v>Medium</x:v>
      </x:c>
      <x:c r="O139" t="str">
        <x:v>P3</x:v>
      </x:c>
      <x:c r="P139" t="str">
        <x:v>Field Support</x:v>
      </x:c>
      <x:c r="Q139" t="str">
        <x:v>Can the user print a test page from another application?</x:v>
      </x:c>
      <x:c r="R139" t="str">
        <x:v>Identify whether the failure is user-specific, workstation-specific, or printer-wide.</x:v>
      </x:c>
      <x:c r="S139" t="str">
        <x:v>Yes</x:v>
      </x:c>
      <x:c r="T139" t="str">
        <x:v>Resolved after service desk triage and routing to the correct support team.</x:v>
      </x:c>
    </x:row>
    <x:row r="140">
      <x:c r="A140" t="str">
        <x:v>HD-20260139</x:v>
      </x:c>
      <x:c r="B140" t="str">
        <x:v>2026-02-13 17:54</x:v>
      </x:c>
      <x:c r="C140" t="str">
        <x:v>Portal</x:v>
      </x:c>
      <x:c r="D140" t="str">
        <x:v>Associate</x:v>
      </x:c>
      <x:c r="E140" t="str">
        <x:v>Customer Service</x:v>
      </x:c>
      <x:c r="F140" t="str">
        <x:v>Plano Office</x:v>
      </x:c>
      <x:c r="G140" t="str">
        <x:v>Mobile</x:v>
      </x:c>
      <x:c r="H140" t="str">
        <x:v>Windows 11</x:v>
      </x:c>
      <x:c r="I140" t="str">
        <x:v>Device not compliant in MDM</x:v>
      </x:c>
      <x:c r="J140" t="str">
        <x:v>User cannot access resources because the device is reported as non-compliant. The user is remote and connected through home internet.</x:v>
      </x:c>
      <x:c r="K140" t="str">
        <x:v>Mobile/Remote</x:v>
      </x:c>
      <x:c r="L140" t="str">
        <x:v>BYOD Access</x:v>
      </x:c>
      <x:c r="M140" t="str">
        <x:v>Single User</x:v>
      </x:c>
      <x:c r="N140" t="str">
        <x:v>Medium</x:v>
      </x:c>
      <x:c r="O140" t="str">
        <x:v>P3</x:v>
      </x:c>
      <x:c r="P140" t="str">
        <x:v>Mobility Team</x:v>
      </x:c>
      <x:c r="Q140" t="str">
        <x:v>What device and OS version are involved, and did anything recently change?</x:v>
      </x:c>
      <x:c r="R140" t="str">
        <x:v>Verify whether the issue is device enrollment, connectivity, or account-related.</x:v>
      </x:c>
      <x:c r="S140" t="str">
        <x:v>Yes</x:v>
      </x:c>
      <x:c r="T140" t="str">
        <x:v>Resolved by restoring expected connectivity or application functionality.</x:v>
      </x:c>
    </x:row>
    <x:row r="141">
      <x:c r="A141" t="str">
        <x:v>HD-20260140</x:v>
      </x:c>
      <x:c r="B141" t="str">
        <x:v>2026-02-01 04:58</x:v>
      </x:c>
      <x:c r="C141" t="str">
        <x:v>Chat</x:v>
      </x:c>
      <x:c r="D141" t="str">
        <x:v>Manager</x:v>
      </x:c>
      <x:c r="E141" t="str">
        <x:v>Sales</x:v>
      </x:c>
      <x:c r="F141" t="str">
        <x:v>Houston Branch</x:v>
      </x:c>
      <x:c r="G141" t="str">
        <x:v>Laptop</x:v>
      </x:c>
      <x:c r="H141" t="str">
        <x:v>Windows 10</x:v>
      </x:c>
      <x:c r="I141" t="str">
        <x:v>VPN disconnects every few minutes</x:v>
      </x:c>
      <x:c r="J141" t="str">
        <x:v>User reports the VPN connects successfully but disconnects after 2 to 5 minutes, which drops access to internal resources. No recent hardware changes were reported.</x:v>
      </x:c>
      <x:c r="K141" t="str">
        <x:v>Network/VPN</x:v>
      </x:c>
      <x:c r="L141" t="str">
        <x:v>Wi-Fi Connectivity</x:v>
      </x:c>
      <x:c r="M141" t="str">
        <x:v>Single User</x:v>
      </x:c>
      <x:c r="N141" t="str">
        <x:v>High</x:v>
      </x:c>
      <x:c r="O141" t="str">
        <x:v>P2</x:v>
      </x:c>
      <x:c r="P141" t="str">
        <x:v>Network Support</x:v>
      </x:c>
      <x:c r="Q141" t="str">
        <x:v>Can you reach the internet and internal resources separately, or neither?</x:v>
      </x:c>
      <x:c r="R141" t="str">
        <x:v>Capture the exact error, verify local internet access, then reconnect or renew the network adapter.</x:v>
      </x:c>
      <x:c r="S141" t="str">
        <x:v>No</x:v>
      </x:c>
      <x:c r="T141" t="str">
        <x:v>Open pending approval, access change, or replacement hardware.</x:v>
      </x:c>
    </x:row>
    <x:row r="142">
      <x:c r="A142" t="str">
        <x:v>HD-20260141</x:v>
      </x:c>
      <x:c r="B142" t="str">
        <x:v>2026-02-05 23:19</x:v>
      </x:c>
      <x:c r="C142" t="str">
        <x:v>Portal</x:v>
      </x:c>
      <x:c r="D142" t="str">
        <x:v>Director</x:v>
      </x:c>
      <x:c r="E142" t="str">
        <x:v>Marketing</x:v>
      </x:c>
      <x:c r="F142" t="str">
        <x:v>Dallas HQ</x:v>
      </x:c>
      <x:c r="G142" t="str">
        <x:v>Laptop</x:v>
      </x:c>
      <x:c r="H142" t="str">
        <x:v>Windows 10</x:v>
      </x:c>
      <x:c r="I142" t="str">
        <x:v>Report will not generate</x:v>
      </x:c>
      <x:c r="J142" t="str">
        <x:v>Requested operational report fails to run or exports blank data. The user has already rebooted once.</x:v>
      </x:c>
      <x:c r="K142" t="str">
        <x:v>Line of Business App</x:v>
      </x:c>
      <x:c r="L142" t="str">
        <x:v>Role Access</x:v>
      </x:c>
      <x:c r="M142" t="str">
        <x:v>Small Team</x:v>
      </x:c>
      <x:c r="N142" t="str">
        <x:v>Medium</x:v>
      </x:c>
      <x:c r="O142" t="str">
        <x:v>P2</x:v>
      </x:c>
      <x:c r="P142" t="str">
        <x:v>Business Applications</x:v>
      </x:c>
      <x:c r="Q142" t="str">
        <x:v>Does this affect one user, one location, or many users?</x:v>
      </x:c>
      <x:c r="R142" t="str">
        <x:v>Separate user-permission issues from application or database failures.</x:v>
      </x:c>
      <x:c r="S142" t="str">
        <x:v>No</x:v>
      </x:c>
      <x:c r="T142" t="str">
        <x:v>Open pending approval, access change, or replacement hardware.</x:v>
      </x:c>
    </x:row>
    <x:row r="143">
      <x:c r="A143" t="str">
        <x:v>HD-20260142</x:v>
      </x:c>
      <x:c r="B143" t="str">
        <x:v>2026-01-18 18:01</x:v>
      </x:c>
      <x:c r="C143" t="str">
        <x:v>Chat</x:v>
      </x:c>
      <x:c r="D143" t="str">
        <x:v>Analyst</x:v>
      </x:c>
      <x:c r="E143" t="str">
        <x:v>Marketing</x:v>
      </x:c>
      <x:c r="F143" t="str">
        <x:v>Remote - Texas</x:v>
      </x:c>
      <x:c r="G143" t="str">
        <x:v>Desktop</x:v>
      </x:c>
      <x:c r="H143" t="str">
        <x:v>Windows 11</x:v>
      </x:c>
      <x:c r="I143" t="str">
        <x:v>Keyboard or mouse stopped working</x:v>
      </x:c>
      <x:c r="J143" t="str">
        <x:v>Peripheral worked earlier but is now intermittently disconnecting or completely unresponsive. The user has already rebooted once.</x:v>
      </x:c>
      <x:c r="K143" t="str">
        <x:v>Hardware</x:v>
      </x:c>
      <x:c r="L143" t="str">
        <x:v>Monitor Issue</x:v>
      </x:c>
      <x:c r="M143" t="str">
        <x:v>Single User</x:v>
      </x:c>
      <x:c r="N143" t="str">
        <x:v>Low</x:v>
      </x:c>
      <x:c r="O143" t="str">
        <x:v>P4</x:v>
      </x:c>
      <x:c r="P143" t="str">
        <x:v>Desktop Support</x:v>
      </x:c>
      <x:c r="Q143" t="str">
        <x:v>Is this preventing work entirely or only reducing convenience?</x:v>
      </x:c>
      <x:c r="R143" t="str">
        <x:v>Document the hardware model and any recent moves or equipment swaps.</x:v>
      </x:c>
      <x:c r="S143" t="str">
        <x:v>Yes</x:v>
      </x:c>
      <x:c r="T143" t="str">
        <x:v>Resolved by correcting account or permission settings and validating access.</x:v>
      </x:c>
    </x:row>
    <x:row r="144">
      <x:c r="A144" t="str">
        <x:v>HD-20260143</x:v>
      </x:c>
      <x:c r="B144" t="str">
        <x:v>2026-02-04 03:16</x:v>
      </x:c>
      <x:c r="C144" t="str">
        <x:v>Portal</x:v>
      </x:c>
      <x:c r="D144" t="str">
        <x:v>Supervisor</x:v>
      </x:c>
      <x:c r="E144" t="str">
        <x:v>IT</x:v>
      </x:c>
      <x:c r="F144" t="str">
        <x:v>Fort Worth Store</x:v>
      </x:c>
      <x:c r="G144" t="str">
        <x:v>Laptop</x:v>
      </x:c>
      <x:c r="H144" t="str">
        <x:v>Windows 10</x:v>
      </x:c>
      <x:c r="I144" t="str">
        <x:v>Battery not charging</x:v>
      </x:c>
      <x:c r="J144" t="str">
        <x:v>Laptop powers on with the adapter connected but the battery percentage does not increase. The user states the issue was intermittent yesterday and is now constant.</x:v>
      </x:c>
      <x:c r="K144" t="str">
        <x:v>Hardware</x:v>
      </x:c>
      <x:c r="L144" t="str">
        <x:v>Battery/Power</x:v>
      </x:c>
      <x:c r="M144" t="str">
        <x:v>Single User</x:v>
      </x:c>
      <x:c r="N144" t="str">
        <x:v>High</x:v>
      </x:c>
      <x:c r="O144" t="str">
        <x:v>P2</x:v>
      </x:c>
      <x:c r="P144" t="str">
        <x:v>Desktop Support</x:v>
      </x:c>
      <x:c r="Q144" t="str">
        <x:v>Did any hardware, cables, or desks change recently?</x:v>
      </x:c>
      <x:c r="R144" t="str">
        <x:v>Determine whether the issue is isolated to one device, one dock, or one user profile.</x:v>
      </x:c>
      <x:c r="S144" t="str">
        <x:v>No</x:v>
      </x:c>
      <x:c r="T144" t="str">
        <x:v>Pending vendor, infrastructure, or application team review.</x:v>
      </x:c>
    </x:row>
    <x:row r="145">
      <x:c r="A145" t="str">
        <x:v>HD-20260144</x:v>
      </x:c>
      <x:c r="B145" t="str">
        <x:v>2026-02-20 01:02</x:v>
      </x:c>
      <x:c r="C145" t="str">
        <x:v>Phone</x:v>
      </x:c>
      <x:c r="D145" t="str">
        <x:v>Specialist</x:v>
      </x:c>
      <x:c r="E145" t="str">
        <x:v>Finance</x:v>
      </x:c>
      <x:c r="F145" t="str">
        <x:v>Fort Worth Store</x:v>
      </x:c>
      <x:c r="G145" t="str">
        <x:v>Laptop</x:v>
      </x:c>
      <x:c r="H145" t="str">
        <x:v>macOS</x:v>
      </x:c>
      <x:c r="I145" t="str">
        <x:v>Calendar permissions issue</x:v>
      </x:c>
      <x:c r="J145" t="str">
        <x:v>User cannot view or edit another person's calendar despite prior access. The problem started after a password change.</x:v>
      </x:c>
      <x:c r="K145" t="str">
        <x:v>Email &amp; Collaboration</x:v>
      </x:c>
      <x:c r="L145" t="str">
        <x:v>Teams/Zoom Issue</x:v>
      </x:c>
      <x:c r="M145" t="str">
        <x:v>Multiple Sites</x:v>
      </x:c>
      <x:c r="N145" t="str">
        <x:v>High</x:v>
      </x:c>
      <x:c r="O145" t="str">
        <x:v>P1</x:v>
      </x:c>
      <x:c r="P145" t="str">
        <x:v>Messaging Team</x:v>
      </x:c>
      <x:c r="Q145" t="str">
        <x:v>Is the issue only in Outlook, or does it also happen in webmail or Teams?</x:v>
      </x:c>
      <x:c r="R145" t="str">
        <x:v>Collect the exact send/receive error and whether internal mail flow still works.</x:v>
      </x:c>
      <x:c r="S145" t="str">
        <x:v>No</x:v>
      </x:c>
      <x:c r="T145" t="str">
        <x:v>Escalated to owning team for deeper investigation.</x:v>
      </x:c>
    </x:row>
    <x:row r="146">
      <x:c r="A146" t="str">
        <x:v>HD-20260145</x:v>
      </x:c>
      <x:c r="B146" t="str">
        <x:v>2026-03-04 05:59</x:v>
      </x:c>
      <x:c r="C146" t="str">
        <x:v>Portal</x:v>
      </x:c>
      <x:c r="D146" t="str">
        <x:v>Supervisor</x:v>
      </x:c>
      <x:c r="E146" t="str">
        <x:v>IT</x:v>
      </x:c>
      <x:c r="F146" t="str">
        <x:v>Austin Branch</x:v>
      </x:c>
      <x:c r="G146" t="str">
        <x:v>Mobile</x:v>
      </x:c>
      <x:c r="H146" t="str">
        <x:v>Android</x:v>
      </x:c>
      <x:c r="I146" t="str">
        <x:v>Outlook keeps asking for password</x:v>
      </x:c>
      <x:c r="J146" t="str">
        <x:v>Outlook opens but repeatedly prompts for credentials and does not stay connected. The issue appears limited to one device.</x:v>
      </x:c>
      <x:c r="K146" t="str">
        <x:v>Email &amp; Collaboration</x:v>
      </x:c>
      <x:c r="L146" t="str">
        <x:v>Mailbox Access</x:v>
      </x:c>
      <x:c r="M146" t="str">
        <x:v>Single User</x:v>
      </x:c>
      <x:c r="N146" t="str">
        <x:v>Medium</x:v>
      </x:c>
      <x:c r="O146" t="str">
        <x:v>P3</x:v>
      </x:c>
      <x:c r="P146" t="str">
        <x:v>Messaging Team</x:v>
      </x:c>
      <x:c r="Q146" t="str">
        <x:v>Is the issue only in Outlook, or does it also happen in webmail or Teams?</x:v>
      </x:c>
      <x:c r="R146" t="str">
        <x:v>Verify whether the mailbox or calendar access was recently changed.</x:v>
      </x:c>
      <x:c r="S146" t="str">
        <x:v>Yes</x:v>
      </x:c>
      <x:c r="T146" t="str">
        <x:v>Issue resolved after standard troubleshooting and confirmation from user.</x:v>
      </x:c>
    </x:row>
    <x:row r="147">
      <x:c r="A147" t="str">
        <x:v>HD-20260146</x:v>
      </x:c>
      <x:c r="B147" t="str">
        <x:v>2026-03-16 03:58</x:v>
      </x:c>
      <x:c r="C147" t="str">
        <x:v>Chat</x:v>
      </x:c>
      <x:c r="D147" t="str">
        <x:v>Associate</x:v>
      </x:c>
      <x:c r="E147" t="str">
        <x:v>HR</x:v>
      </x:c>
      <x:c r="F147" t="str">
        <x:v>Fort Worth Store</x:v>
      </x:c>
      <x:c r="G147" t="str">
        <x:v>Laptop</x:v>
      </x:c>
      <x:c r="H147" t="str">
        <x:v>macOS</x:v>
      </x:c>
      <x:c r="I147" t="str">
        <x:v>Browser cannot open business site</x:v>
      </x:c>
      <x:c r="J147" t="str">
        <x:v>Corporate web application loads incorrectly or produces script or certificate related issues. The behavior is affecting normal job duties.</x:v>
      </x:c>
      <x:c r="K147" t="str">
        <x:v>Software</x:v>
      </x:c>
      <x:c r="L147" t="str">
        <x:v>License Issue</x:v>
      </x:c>
      <x:c r="M147" t="str">
        <x:v>Department</x:v>
      </x:c>
      <x:c r="N147" t="str">
        <x:v>Medium</x:v>
      </x:c>
      <x:c r="O147" t="str">
        <x:v>P2</x:v>
      </x:c>
      <x:c r="P147" t="str">
        <x:v>Desktop Support</x:v>
      </x:c>
      <x:c r="Q147" t="str">
        <x:v>Does the issue affect one machine or multiple users?</x:v>
      </x:c>
      <x:c r="R147" t="str">
        <x:v>Confirm the exact application name and whether the failure began after an update or change.</x:v>
      </x:c>
      <x:c r="S147" t="str">
        <x:v>Yes</x:v>
      </x:c>
      <x:c r="T147" t="str">
        <x:v>Resolved by restoring expected connectivity or application functionality.</x:v>
      </x:c>
    </x:row>
    <x:row r="148">
      <x:c r="A148" t="str">
        <x:v>HD-20260147</x:v>
      </x:c>
      <x:c r="B148" t="str">
        <x:v>2026-03-06 19:14</x:v>
      </x:c>
      <x:c r="C148" t="str">
        <x:v>Chat</x:v>
      </x:c>
      <x:c r="D148" t="str">
        <x:v>Supervisor</x:v>
      </x:c>
      <x:c r="E148" t="str">
        <x:v>Marketing</x:v>
      </x:c>
      <x:c r="F148" t="str">
        <x:v>Houston Branch</x:v>
      </x:c>
      <x:c r="G148" t="str">
        <x:v>Laptop</x:v>
      </x:c>
      <x:c r="H148" t="str">
        <x:v>Windows 10</x:v>
      </x:c>
      <x:c r="I148" t="str">
        <x:v>Wrong printer driver behavior</x:v>
      </x:c>
      <x:c r="J148" t="str">
        <x:v>Output formatting is broken or the job hangs after a printer replacement. A screenshot is available in the ticket.</x:v>
      </x:c>
      <x:c r="K148" t="str">
        <x:v>Printing</x:v>
      </x:c>
      <x:c r="L148" t="str">
        <x:v>Scan to Email</x:v>
      </x:c>
      <x:c r="M148" t="str">
        <x:v>Multiple Sites</x:v>
      </x:c>
      <x:c r="N148" t="str">
        <x:v>Low</x:v>
      </x:c>
      <x:c r="O148" t="str">
        <x:v>P2</x:v>
      </x:c>
      <x:c r="P148" t="str">
        <x:v>Field Support</x:v>
      </x:c>
      <x:c r="Q148" t="str">
        <x:v>Is the issue affecting one user, one printer, or everyone using that printer?</x:v>
      </x:c>
      <x:c r="R148" t="str">
        <x:v>Confirm the exact printer name and model before reinstalling drivers.</x:v>
      </x:c>
      <x:c r="S148" t="str">
        <x:v>No</x:v>
      </x:c>
      <x:c r="T148" t="str">
        <x:v>Awaiting user response with requested details or screenshots.</x:v>
      </x:c>
    </x:row>
    <x:row r="149">
      <x:c r="A149" t="str">
        <x:v>HD-20260148</x:v>
      </x:c>
      <x:c r="B149" t="str">
        <x:v>2026-03-02 08:50</x:v>
      </x:c>
      <x:c r="C149" t="str">
        <x:v>Chat</x:v>
      </x:c>
      <x:c r="D149" t="str">
        <x:v>Analyst</x:v>
      </x:c>
      <x:c r="E149" t="str">
        <x:v>Customer Service</x:v>
      </x:c>
      <x:c r="F149" t="str">
        <x:v>Dallas HQ</x:v>
      </x:c>
      <x:c r="G149" t="str">
        <x:v>Desktop</x:v>
      </x:c>
      <x:c r="H149" t="str">
        <x:v>Windows 11</x:v>
      </x:c>
      <x:c r="I149" t="str">
        <x:v>Sensitive data may have been sent</x:v>
      </x:c>
      <x:c r="J149" t="str">
        <x:v>User is concerned that confidential information may have been emailed or uploaded improperly. Another coworker reported a similar symptom.</x:v>
      </x:c>
      <x:c r="K149" t="str">
        <x:v>Security</x:v>
      </x:c>
      <x:c r="L149" t="str">
        <x:v>Endpoint Security Block</x:v>
      </x:c>
      <x:c r="M149" t="str">
        <x:v>Department</x:v>
      </x:c>
      <x:c r="N149" t="str">
        <x:v>Low</x:v>
      </x:c>
      <x:c r="O149" t="str">
        <x:v>P2</x:v>
      </x:c>
      <x:c r="P149" t="str">
        <x:v>Security Operations</x:v>
      </x:c>
      <x:c r="Q149" t="str">
        <x:v>Did the user click anything, enter credentials, or download a file?</x:v>
      </x:c>
      <x:c r="R149" t="str">
        <x:v>Capture sender, URL, filename, or alert name exactly as shown.</x:v>
      </x:c>
      <x:c r="S149" t="str">
        <x:v>Yes</x:v>
      </x:c>
      <x:c r="T149" t="str">
        <x:v>Resolved by restoring expected connectivity or application functionality.</x:v>
      </x:c>
    </x:row>
    <x:row r="150">
      <x:c r="A150" t="str">
        <x:v>HD-20260149</x:v>
      </x:c>
      <x:c r="B150" t="str">
        <x:v>2026-03-19 21:20</x:v>
      </x:c>
      <x:c r="C150" t="str">
        <x:v>Portal</x:v>
      </x:c>
      <x:c r="D150" t="str">
        <x:v>Manager</x:v>
      </x:c>
      <x:c r="E150" t="str">
        <x:v>Sales</x:v>
      </x:c>
      <x:c r="F150" t="str">
        <x:v>Dallas HQ</x:v>
      </x:c>
      <x:c r="G150" t="str">
        <x:v>Desktop</x:v>
      </x:c>
      <x:c r="H150" t="str">
        <x:v>macOS</x:v>
      </x:c>
      <x:c r="I150" t="str">
        <x:v>Application closes on launch</x:v>
      </x:c>
      <x:c r="J150" t="str">
        <x:v>User states that a business application opens briefly and then crashes every time. No recent hardware changes were reported.</x:v>
      </x:c>
      <x:c r="K150" t="str">
        <x:v>Software</x:v>
      </x:c>
      <x:c r="L150" t="str">
        <x:v>Application Crash</x:v>
      </x:c>
      <x:c r="M150" t="str">
        <x:v>Single User</x:v>
      </x:c>
      <x:c r="N150" t="str">
        <x:v>Low</x:v>
      </x:c>
      <x:c r="O150" t="str">
        <x:v>P4</x:v>
      </x:c>
      <x:c r="P150" t="str">
        <x:v>Desktop Support</x:v>
      </x:c>
      <x:c r="Q150" t="str">
        <x:v>Does the issue affect one machine or multiple users?</x:v>
      </x:c>
      <x:c r="R150" t="str">
        <x:v>Collect screenshots or error text before reinstalling or clearing caches.</x:v>
      </x:c>
      <x:c r="S150" t="str">
        <x:v>Yes</x:v>
      </x:c>
      <x:c r="T150" t="str">
        <x:v>Resolved by restoring expected connectivity or application functionality.</x:v>
      </x:c>
    </x:row>
    <x:row r="151">
      <x:c r="A151" t="str">
        <x:v>HD-20260150</x:v>
      </x:c>
      <x:c r="B151" t="str">
        <x:v>2026-03-09 03:05</x:v>
      </x:c>
      <x:c r="C151" t="str">
        <x:v>Chat</x:v>
      </x:c>
      <x:c r="D151" t="str">
        <x:v>Supervisor</x:v>
      </x:c>
      <x:c r="E151" t="str">
        <x:v>Warehouse</x:v>
      </x:c>
      <x:c r="F151" t="str">
        <x:v>Remote - Texas</x:v>
      </x:c>
      <x:c r="G151" t="str">
        <x:v>Desktop</x:v>
      </x:c>
      <x:c r="H151" t="str">
        <x:v>Windows 10</x:v>
      </x:c>
      <x:c r="I151" t="str">
        <x:v>Application timeout during processing</x:v>
      </x:c>
      <x:c r="J151" t="str">
        <x:v>Long-running transaction ends in a timeout or session expiration. The user has already rebooted once.</x:v>
      </x:c>
      <x:c r="K151" t="str">
        <x:v>Line of Business App</x:v>
      </x:c>
      <x:c r="L151" t="str">
        <x:v>Integration Error</x:v>
      </x:c>
      <x:c r="M151" t="str">
        <x:v>Small Team</x:v>
      </x:c>
      <x:c r="N151" t="str">
        <x:v>High</x:v>
      </x:c>
      <x:c r="O151" t="str">
        <x:v>P2</x:v>
      </x:c>
      <x:c r="P151" t="str">
        <x:v>Business Applications</x:v>
      </x:c>
      <x:c r="Q151" t="str">
        <x:v>What exact application, function, and error text are involved?</x:v>
      </x:c>
      <x:c r="R151" t="str">
        <x:v>Capture the exact module, transaction, and error message before escalation.</x:v>
      </x:c>
      <x:c r="S151" t="str">
        <x:v>Yes</x:v>
      </x:c>
      <x:c r="T151" t="str">
        <x:v>Issue resolved after standard troubleshooting and confirmation from user.</x:v>
      </x:c>
    </x:row>
  </x:sheetData>
  <x:conditionalFormatting sqref="O2:O151">
    <x:cfRule type="expression" dxfId="0" priority="1">
      <x:formula>O2="P1"</x:formula>
    </x:cfRule>
    <x:cfRule type="expression" dxfId="1" priority="2">
      <x:formula>O2="P2"</x:formula>
    </x:cfRule>
  </x:conditionalFormatting>
  <x:conditionalFormatting sqref="S2:S151">
    <x:cfRule type="expression" dxfId="2" priority="3">
      <x:formula>S2="No"</x:formula>
    </x:cfRule>
    <x:cfRule type="expression" dxfId="3" priority="4">
      <x:formula>S2="Yes"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5a8c45e46545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0" hidden="0" customWidth="1"/>
    <x:col min="3" max="3" width="26" hidden="0" customWidth="1"/>
  </x:cols>
  <x:sheetData>
    <x:row r="1" ht="24" customHeight="1">
      <x:c r="A1" s="8" t="str">
        <x:v>Field</x:v>
      </x:c>
      <x:c r="B1" s="9" t="str">
        <x:v>Allowed Values / Notes</x:v>
      </x:c>
      <x:c r="C1" s="9" t="str">
        <x:v>Purpose</x:v>
      </x:c>
    </x:row>
    <x:row r="2" ht="24" customHeight="1">
      <x:c r="A2" t="str">
        <x:v>category</x:v>
      </x:c>
      <x:c r="B2" t="str">
        <x:v>Network/VPN; Identity &amp; Access; Email &amp; Collaboration; Hardware; Software; Printing; Security; File/Share Access; Mobile/Remote; Line of Business App</x:v>
      </x:c>
      <x:c r="C2" t="str">
        <x:v>Primary classification label</x:v>
      </x:c>
    </x:row>
    <x:row r="3" ht="24" customHeight="1">
      <x:c r="A3" t="str">
        <x:v>priority</x:v>
      </x:c>
      <x:c r="B3" t="str">
        <x:v>P1, P2, P3, P4</x:v>
      </x:c>
      <x:c r="C3" t="str">
        <x:v>Severity level used by the agent</x:v>
      </x:c>
    </x:row>
    <x:row r="4" ht="24" customHeight="1">
      <x:c r="A4" t="str">
        <x:v>impact</x:v>
      </x:c>
      <x:c r="B4" t="str">
        <x:v>Single User; Small Team; Department; Multiple Sites</x:v>
      </x:c>
      <x:c r="C4" t="str">
        <x:v>How many people are affected</x:v>
      </x:c>
    </x:row>
    <x:row r="5" ht="24" customHeight="1">
      <x:c r="A5" t="str">
        <x:v>urgency</x:v>
      </x:c>
      <x:c r="B5" t="str">
        <x:v>Low; Medium; High</x:v>
      </x:c>
      <x:c r="C5" t="str">
        <x:v>How quickly the issue needs attention</x:v>
      </x:c>
    </x:row>
    <x:row r="6" ht="24" customHeight="1">
      <x:c r="A6" t="str">
        <x:v>route_team</x:v>
      </x:c>
      <x:c r="B6" t="str">
        <x:v>Network Support; Service Desk; Messaging Team; Desktop Support; Field Support; Security Operations; Infrastructure; Mobility Team; Business Applications</x:v>
      </x:c>
      <x:c r="C6" t="str">
        <x:v>Suggested resolver group</x:v>
      </x:c>
    </x:row>
    <x:row r="7" ht="24" customHeight="1">
      <x:c r="A7" t="str">
        <x:v>resolved_flag</x:v>
      </x:c>
      <x:c r="B7" t="str">
        <x:v>Yes; No</x:v>
      </x:c>
      <x:c r="C7" t="str">
        <x:v>Ground-truth state for the sample ticket</x:v>
      </x:c>
    </x:row>
    <x:row r="8" ht="24" customHeight="1">
      <x:c r="A8" t="str">
        <x:v>agent task</x:v>
      </x:c>
      <x:c r="B8" t="str">
        <x:v>Classify category, assign priority, ask follow-up question, recommend first action, and route to team</x:v>
      </x:c>
      <x:c r="C8" t="str">
        <x:v>Suggested project scope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  <x:col min="4" max="4" width="24" hidden="0" customWidth="1"/>
    <x:col min="5" max="5" width="12" hidden="0" customWidth="1"/>
  </x:cols>
  <x:sheetData>
    <x:row r="1" ht="28" customHeight="1">
      <x:c r="A1" s="13" t="str">
        <x:v>IT Help Desk Agent Demo Dataset</x:v>
      </x:c>
      <x:c r="B1" s="13"/>
      <x:c r="C1" s="13"/>
      <x:c r="D1" s="13"/>
      <x:c r="E1" s="13"/>
      <x:c r="F1" s="13"/>
    </x:row>
    <x:row r="3">
      <x:c r="A3" s="8" t="str">
        <x:v>Metric</x:v>
      </x:c>
      <x:c r="B3" s="8" t="str">
        <x:v>Value</x:v>
      </x:c>
      <x:c r="D3" s="16" t="str">
        <x:v>Category</x:v>
      </x:c>
      <x:c r="E3" s="16" t="str">
        <x:v>Count</x:v>
      </x:c>
    </x:row>
    <x:row r="4">
      <x:c r="A4" t="str">
        <x:v>Total Tickets</x:v>
      </x:c>
      <x:c r="B4" t="n">
        <x:f>COUNTA(Tickets!A2:A151)</x:f>
        <x:v>150</x:v>
      </x:c>
      <x:c r="D4" t="str">
        <x:v>Network/VPN</x:v>
      </x:c>
      <x:c r="E4" t="n">
        <x:f>COUNTIF(Tickets!K2:K151,D4)</x:f>
        <x:v>20</x:v>
      </x:c>
    </x:row>
    <x:row r="5">
      <x:c r="A5" t="str">
        <x:v>Resolved</x:v>
      </x:c>
      <x:c r="B5" t="n">
        <x:f>COUNTIF(Tickets!S2:S151,"Yes")</x:f>
        <x:v>103</x:v>
      </x:c>
      <x:c r="D5" t="str">
        <x:v>Identity &amp; Access</x:v>
      </x:c>
      <x:c r="E5" t="n">
        <x:f>COUNTIF(Tickets!K2:K151,D5)</x:f>
        <x:v>10</x:v>
      </x:c>
    </x:row>
    <x:row r="6">
      <x:c r="A6" t="str">
        <x:v>Open</x:v>
      </x:c>
      <x:c r="B6" t="n">
        <x:f>COUNTIF(Tickets!S2:S151,"No")</x:f>
        <x:v>47</x:v>
      </x:c>
      <x:c r="D6" t="str">
        <x:v>Email &amp; Collaboration</x:v>
      </x:c>
      <x:c r="E6" t="n">
        <x:f>COUNTIF(Tickets!K2:K151,D6)</x:f>
        <x:v>17</x:v>
      </x:c>
    </x:row>
    <x:row r="7">
      <x:c r="A7" t="str">
        <x:v>High Priority (P1/P2)</x:v>
      </x:c>
      <x:c r="B7" t="n">
        <x:f>COUNTIF(Tickets!O2:O151,"P1")+COUNTIF(Tickets!O2:O151,"P2")</x:f>
        <x:v>79</x:v>
      </x:c>
      <x:c r="D7" t="str">
        <x:v>Hardware</x:v>
      </x:c>
      <x:c r="E7" t="n">
        <x:f>COUNTIF(Tickets!K2:K151,D7)</x:f>
        <x:v>16</x:v>
      </x:c>
    </x:row>
    <x:row r="8">
      <x:c r="D8" t="str">
        <x:v>Software</x:v>
      </x:c>
      <x:c r="E8" t="n">
        <x:f>COUNTIF(Tickets!K2:K151,D8)</x:f>
        <x:v>17</x:v>
      </x:c>
    </x:row>
    <x:row r="9">
      <x:c r="A9" s="18"/>
      <x:c r="B9"/>
      <x:c r="C9"/>
      <x:c r="D9" t="str">
        <x:v>Printing</x:v>
      </x:c>
      <x:c r="E9" t="n">
        <x:f>COUNTIF(Tickets!K2:K151,D9)</x:f>
        <x:v>13</x:v>
      </x:c>
      <x:c r="F9"/>
    </x:row>
    <x:row r="10">
      <x:c r="A10" s="19"/>
      <x:c r="B10" s="20"/>
      <x:c r="C10"/>
      <x:c r="D10" t="str">
        <x:v>Security</x:v>
      </x:c>
      <x:c r="E10" t="n">
        <x:f>COUNTIF(Tickets!K2:K151,D10)</x:f>
        <x:v>14</x:v>
      </x:c>
      <x:c r="F10"/>
    </x:row>
    <x:row r="11">
      <x:c r="A11" s="19"/>
      <x:c r="B11" s="20"/>
      <x:c r="C11"/>
      <x:c r="D11" t="str">
        <x:v>File/Share Access</x:v>
      </x:c>
      <x:c r="E11" t="n">
        <x:f>COUNTIF(Tickets!K2:K151,D11)</x:f>
        <x:v>16</x:v>
      </x:c>
      <x:c r="F11"/>
    </x:row>
    <x:row r="12">
      <x:c r="A12" s="19"/>
      <x:c r="B12" s="20"/>
      <x:c r="C12"/>
      <x:c r="D12" t="str">
        <x:v>Mobile/Remote</x:v>
      </x:c>
      <x:c r="E12" t="n">
        <x:f>COUNTIF(Tickets!K2:K151,D12)</x:f>
        <x:v>9</x:v>
      </x:c>
      <x:c r="F12"/>
    </x:row>
    <x:row r="13">
      <x:c r="A13" s="19"/>
      <x:c r="B13" s="20"/>
      <x:c r="C13"/>
      <x:c r="D13" t="str">
        <x:v>Line of Business App</x:v>
      </x:c>
      <x:c r="E13" t="n">
        <x:f>COUNTIF(Tickets!K2:K151,D13)</x:f>
        <x:v>18</x:v>
      </x:c>
      <x:c r="F13"/>
    </x:row>
    <x:row r="16">
      <x:c r="A16" s="18" t="str">
        <x:v>How to Use This Dataset</x:v>
      </x:c>
      <x:c r="B16" t="str"/>
      <x:c r="C16" t="str"/>
      <x:c r="D16" t="str"/>
      <x:c r="E16" t="str"/>
      <x:c r="F16" t="str"/>
    </x:row>
    <x:row r="17">
      <x:c r="A17" s="19" t="str">
        <x:v>1</x:v>
      </x:c>
      <x:c r="B17" s="20" t="str">
        <x:v>Use the ticket text as model input.</x:v>
      </x:c>
      <x:c r="C17" t="str"/>
      <x:c r="D17" t="str"/>
      <x:c r="E17" t="str"/>
      <x:c r="F17" t="str"/>
    </x:row>
    <x:row r="18">
      <x:c r="A18" s="19" t="str">
        <x:v>2</x:v>
      </x:c>
      <x:c r="B18" s="20" t="str">
        <x:v>Use category, priority, route_team, follow_up_question, and first_action as target outputs.</x:v>
      </x:c>
      <x:c r="C18" t="str"/>
      <x:c r="D18" t="str"/>
      <x:c r="E18" t="str"/>
      <x:c r="F18" t="str"/>
    </x:row>
    <x:row r="19">
      <x:c r="A19" s="19" t="str">
        <x:v>3</x:v>
      </x:c>
      <x:c r="B19" s="20" t="str">
        <x:v>Start with prompt-based classification before training anything.</x:v>
      </x:c>
      <x:c r="C19" t="str"/>
      <x:c r="D19" t="str"/>
      <x:c r="E19" t="str"/>
      <x:c r="F19" t="str"/>
    </x:row>
    <x:row r="20">
      <x:c r="A20" s="19" t="str">
        <x:v>4</x:v>
      </x:c>
      <x:c r="B20" s="20" t="str">
        <x:v>Demo the agent on unseen tickets or edited variants.</x:v>
      </x:c>
      <x:c r="C20" t="str"/>
      <x:c r="D20" t="str"/>
      <x:c r="E20" t="str"/>
      <x:c r="F20" t="str"/>
    </x:row>
  </x:sheetData>
  <x:mergeCells>
    <x:mergeCell ref="A1:F1"/>
    <x:mergeCell ref="A9:F9"/>
    <x:mergeCell ref="A16:F16"/>
  </x:mergeCells>
  <x:pageMargins left="0.7" right="0.7" top="0.75" bottom="0.75" header="0.3" footer="0.3"/>
  <x:drawing xmlns:r="http://schemas.openxmlformats.org/officeDocument/2006/relationships" r:id="R6ef6ca00e5234616"/>
</x:worksheet>
</file>